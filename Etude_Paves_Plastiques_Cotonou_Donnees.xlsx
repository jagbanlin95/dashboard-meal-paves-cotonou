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oel AGBANLIN\Desktop\Valorisation des déchets plastiques en pavés-CISE Sarl\"/>
    </mc:Choice>
  </mc:AlternateContent>
  <xr:revisionPtr revIDLastSave="0" documentId="8_{D8239458-105A-4F68-99EF-D13B90018735}" xr6:coauthVersionLast="47" xr6:coauthVersionMax="47" xr10:uidLastSave="{00000000-0000-0000-0000-000000000000}"/>
  <bookViews>
    <workbookView xWindow="-120" yWindow="-120" windowWidth="20730" windowHeight="11040" tabRatio="500" firstSheet="2" activeTab="4" xr2:uid="{00000000-000D-0000-FFFF-FFFF00000000}"/>
  </bookViews>
  <sheets>
    <sheet name="Lisez-moi" sheetId="1" r:id="rId1"/>
    <sheet name="Données ménages" sheetId="2" r:id="rId2"/>
    <sheet name="Indicateurs MEAL" sheetId="3" r:id="rId3"/>
    <sheet name="Guide entretiens qualitatifs" sheetId="4" r:id="rId4"/>
    <sheet name="Acteurs chaîne de valeur"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29" i="5" l="1"/>
  <c r="F29" i="5"/>
  <c r="F28" i="5"/>
  <c r="G28" i="5" s="1"/>
  <c r="G27" i="5"/>
  <c r="F27" i="5"/>
  <c r="F26" i="5"/>
  <c r="G26" i="5" s="1"/>
  <c r="G25" i="5"/>
  <c r="F25" i="5"/>
  <c r="F24" i="5"/>
  <c r="G24" i="5" s="1"/>
  <c r="G23" i="5"/>
  <c r="F23" i="5"/>
  <c r="F22" i="5"/>
  <c r="G22" i="5" s="1"/>
  <c r="G21" i="5"/>
  <c r="F21" i="5"/>
  <c r="F20" i="5"/>
  <c r="G20" i="5" s="1"/>
  <c r="C14" i="3" s="1"/>
  <c r="G19" i="5"/>
  <c r="F19" i="5"/>
  <c r="F18" i="5"/>
  <c r="G18" i="5" s="1"/>
  <c r="G17" i="5"/>
  <c r="F17" i="5"/>
  <c r="F16" i="5"/>
  <c r="G16" i="5" s="1"/>
  <c r="G15" i="5"/>
  <c r="F15" i="5"/>
  <c r="F14" i="5"/>
  <c r="G14" i="5" s="1"/>
  <c r="G13" i="5"/>
  <c r="F13" i="5"/>
  <c r="F12" i="5"/>
  <c r="G12" i="5" s="1"/>
  <c r="G11" i="5"/>
  <c r="F11" i="5"/>
  <c r="F10" i="5"/>
  <c r="G10" i="5" s="1"/>
  <c r="G9" i="5"/>
  <c r="F9" i="5"/>
  <c r="F8" i="5"/>
  <c r="G8" i="5" s="1"/>
  <c r="G7" i="5"/>
  <c r="F7" i="5"/>
  <c r="F6" i="5"/>
  <c r="G6" i="5" s="1"/>
  <c r="G5" i="5"/>
  <c r="F5" i="5"/>
  <c r="C15" i="3"/>
  <c r="B15" i="3"/>
  <c r="D15" i="3" s="1"/>
  <c r="D13" i="3"/>
  <c r="C13" i="3"/>
  <c r="B13" i="3"/>
  <c r="D7" i="3"/>
  <c r="C7" i="3"/>
  <c r="B7" i="3"/>
  <c r="E7" i="3" s="1"/>
  <c r="D6" i="3"/>
  <c r="C6" i="3"/>
  <c r="B6" i="3"/>
  <c r="E6" i="3" s="1"/>
  <c r="D5" i="3"/>
  <c r="C5" i="3"/>
  <c r="B5" i="3"/>
  <c r="E5" i="3" s="1"/>
  <c r="D4" i="3"/>
  <c r="C4" i="3"/>
  <c r="B4" i="3"/>
  <c r="E4" i="3" s="1"/>
  <c r="D14" i="3" l="1"/>
  <c r="B14" i="3"/>
</calcChain>
</file>

<file path=xl/sharedStrings.xml><?xml version="1.0" encoding="utf-8"?>
<sst xmlns="http://schemas.openxmlformats.org/spreadsheetml/2006/main" count="830" uniqueCount="89">
  <si>
    <t>Étude socio-économique et environnementale — Valorisation des déchets plastiques en pavés préfabriqués</t>
  </si>
  <si>
    <t>STATUT DE CE DOCUMENT</t>
  </si>
  <si>
    <t>Ce classeur reconstitue, à des fins de démonstration de compétences (portfolio professionnel), la méthodologie et les données d'une étude réellement menée par Joël AGBANLIN dans le cadre de son mémoire de Licence en Économie Appliquée (FASEG-UAC, 2016), avec l'appui de CISE SARL.</t>
  </si>
  <si>
    <t>Les données individuelles présentées dans l'onglet "Données ménages" sont SIMULÉES : elles reproduisent des tendances plausibles pour ce type d'enquête, mais ne sont pas les données brutes originales du mémoire (non conservées). La structure de l'enquête, les variables et les indicateurs correspondent en revanche à la méthodologie réellement appliquée.</t>
  </si>
  <si>
    <t>CONTEXTE</t>
  </si>
  <si>
    <t>L'étude visait à évaluer le potentiel de collecte et de valorisation des déchets plastiques à Cotonou, à travers une filière de transformation en pavés préfabriqués (économie circulaire), et à mesurer l'acceptabilité socio-économique de cette filière auprès des ménages, des collecteurs informels et des artisans.</t>
  </si>
  <si>
    <t>- Échantillon : 120 ménages enquêtés sur 3 quartiers de Cotonou (Akpakpa, Dantokpa, Fidjrossè), à raison de 40 ménages par quartier.</t>
  </si>
  <si>
    <t>- Méthode d'échantillonnage : échantillonnage de convenance (non probabiliste), en raison des moyens limités d'une étude de mémoire de licence.</t>
  </si>
  <si>
    <t>- Limite assumée : cet échantillon ne permet pas une généralisation statistique à l'ensemble de la population de Cotonou (~700 000 habitants). Il fournit des tendances indicatives locales, robustes à l'échelle des 3 quartiers enquêtés.</t>
  </si>
  <si>
    <t>- Un volet qualitatif complémentaire (entretiens avec collecteurs informels et artisans) a permis de trianguler les résultats quantitatifs.</t>
  </si>
  <si>
    <t>CONTENU DU CLASSEUR</t>
  </si>
  <si>
    <t>1. Données ménages (N=120) — jeu de données simulé, une ligne par ménage enquêté</t>
  </si>
  <si>
    <t>2. Indicateurs MEAL — calculs automatiques (formules) des indicateurs de suivi à partir des données</t>
  </si>
  <si>
    <t>3. Guide entretiens qualitatifs — trame des entretiens collecteurs/artisans (non simulée en verbatim)</t>
  </si>
  <si>
    <t>RECENTRAGE — 4 axes de valorisation mis en avant</t>
  </si>
  <si>
    <t>1. Emploi — métiers de la chaîne (collecte, tri, transformation) recensés et quantifiés</t>
  </si>
  <si>
    <t>2. Revenus — potentiel de gain pour les acteurs informels intégrés à une filière structurée</t>
  </si>
  <si>
    <t>3. Vie sociale — conditions de vie des ménages et acteurs impliqués (à développer en synthèse qualitative)</t>
  </si>
  <si>
    <t>4. Environnement — volume de déchets plastiques détournés, réduction de la pression sur les caniveaux et décharges urbaines de Cotonou</t>
  </si>
  <si>
    <t>Voir l'onglet "Acteurs chaîne de valeur" (nouveau) et la section correspondante de l'onglet "Indicateurs MEAL" pour le détail.</t>
  </si>
  <si>
    <t>ID</t>
  </si>
  <si>
    <t>Quartier</t>
  </si>
  <si>
    <t>Taille du ménage</t>
  </si>
  <si>
    <t>Production déchets plastiques (fréquence)</t>
  </si>
  <si>
    <t>Pratique le tri à la source (Oui/Non)</t>
  </si>
  <si>
    <t>Disposé à vendre le plastique trié (Oui/Non/Incertain)</t>
  </si>
  <si>
    <t>Connaît la filière pavé recyclé (Oui/Non)</t>
  </si>
  <si>
    <t>Disposé à acheter un pavé recyclé (Oui/Non/Incertain)</t>
  </si>
  <si>
    <t>Revenu mensuel estimé (FCFA)</t>
  </si>
  <si>
    <t>Akpakpa</t>
  </si>
  <si>
    <t>Quotidienne</t>
  </si>
  <si>
    <t>Oui</t>
  </si>
  <si>
    <t>Non</t>
  </si>
  <si>
    <t>Incertain</t>
  </si>
  <si>
    <t>Hebdomadaire</t>
  </si>
  <si>
    <t>Occasionnelle</t>
  </si>
  <si>
    <t>Dantokpa</t>
  </si>
  <si>
    <t>Fidjrossè</t>
  </si>
  <si>
    <t>Indicateurs MEAL — calculés automatiquement à partir de l'onglet "Données ménages"</t>
  </si>
  <si>
    <t>Indicateur</t>
  </si>
  <si>
    <t>Ensemble (N=120)</t>
  </si>
  <si>
    <t>Définition / Cible</t>
  </si>
  <si>
    <t>Taux de tri des déchets à la source</t>
  </si>
  <si>
    <t>% de ménages enquêtés pratiquant un tri à la source. Cible indicative : ≥ 40%.</t>
  </si>
  <si>
    <t>Taux de disposition à vendre le plastique trié</t>
  </si>
  <si>
    <t>% de ménages disposés à vendre leur plastique trié à un collecteur.</t>
  </si>
  <si>
    <t>Taux de connaissance de la filière pavé recyclé</t>
  </si>
  <si>
    <t>% de ménages connaissant l'existence de la filière de valorisation en pavés.</t>
  </si>
  <si>
    <t>Taux d'acceptabilité d'achat d'un pavé recyclé</t>
  </si>
  <si>
    <t>% de ménages favorables à l'achat d'un pavé fabriqué à partir de plastique recyclé. Cible indicative : ≥ 60%.</t>
  </si>
  <si>
    <t>Note méthodologique : échantillon de convenance (N=120, 3 quartiers), non probabiliste. Résultats indicatifs, non généralisables statistiquement à l'ensemble de Cotonou.</t>
  </si>
  <si>
    <t>Effets potentiels sur l'emploi, les revenus et l'environnement (scénario projeté)</t>
  </si>
  <si>
    <t>Collecteurs</t>
  </si>
  <si>
    <t>Artisans</t>
  </si>
  <si>
    <t>Ensemble</t>
  </si>
  <si>
    <t>Emplois recensés dans l'échantillon (N)</t>
  </si>
  <si>
    <t>Nombre de métiers/emplois de la chaîne représentés dans l'échantillon d'acteurs enquêtés.</t>
  </si>
  <si>
    <t>Gain de revenu potentiel moyen (%)</t>
  </si>
  <si>
    <t>Variation estimée du revenu si l'acteur rejoint une filière structurée (scénario projeté, +15-25%).</t>
  </si>
  <si>
    <t>Volume de plastique traité (kg/mois, échantillon)</t>
  </si>
  <si>
    <t>Volume de plastique traité/mois par les acteurs enquêtés — proxy de la quantité détournée de l'environnement urbain (caniveaux, décharges).</t>
  </si>
  <si>
    <t>Prudence méthodologique : indicateurs d'emploi/revenu/environnement basés sur un échantillon restreint (N=25 acteurs) et un scénario projeté, non une mesure d'impact observée. À ne présenter que comme un potentiel indicatif, cohérent avec des initiatives comparables.</t>
  </si>
  <si>
    <t>Guide d'entretien semi-structuré — Collecteurs informels et artisans (volet qualitatif)</t>
  </si>
  <si>
    <t>Cible : 10 à 15 entretiens semi-structurés (collecteurs informels de déchets plastiques, artisans potentiellement impliqués dans la transformation).</t>
  </si>
  <si>
    <t>Axe 1 — Pratiques actuelles de collecte</t>
  </si>
  <si>
    <t>1. Depuis combien de temps exercez-vous cette activité de collecte ?</t>
  </si>
  <si>
    <t>2. Quels types de déchets collectez-vous et auprès de qui ?</t>
  </si>
  <si>
    <t>3. Comment écoulez-vous actuellement le plastique collecté ?</t>
  </si>
  <si>
    <t>Axe 2 — Perception de la filière pavé recyclé</t>
  </si>
  <si>
    <t>4. Avez-vous déjà entendu parler de la transformation du plastique en pavés ?</t>
  </si>
  <si>
    <t>5. Quels avantages ou freins voyez-vous à une telle filière ?</t>
  </si>
  <si>
    <t>6. Seriez-vous prêt à vendre votre plastique collecté à une unité de transformation ?</t>
  </si>
  <si>
    <t>Axe 3 — Conditions économiques et contraintes</t>
  </si>
  <si>
    <t>7. Quel est le principal frein à l'intensification de votre activité de collecte ?</t>
  </si>
  <si>
    <t>8. Quel prix jugeriez-vous équitable pour la vente de plastique trié en gros ?</t>
  </si>
  <si>
    <t>Note : les réponses à ces entretiens ne sont pas simulées en verbatim dans ce classeur — seule la trame d'entretien est fournie. Dans un vrai rapport, cette section serait complétée par une synthèse thématique des propos recueillis (jamais par des citations inventées attribuées à des personnes réelles).</t>
  </si>
  <si>
    <t>Scénario potentiel — Emploi et revenus dans une filière structurée de valorisation</t>
  </si>
  <si>
    <t>Note : ces données sont un SCÉNARIO PROJETÉ (potentiel estimé), pas une mesure d'impact réelle — la filière structurée n'existait pas au moment de l'étude. "Revenu actuel" reflète l'activité informelle telle qu'observée ; "revenu potentiel" est une projection à +15-25% si l'acteur était intégré à une filière organisée de collecte-transformation, hypothèse cohérente avec des initiatives comparables d'économie circulaire en Afrique de l'Ouest.</t>
  </si>
  <si>
    <t>Type d'acteur</t>
  </si>
  <si>
    <t>Ancienneté (années)</t>
  </si>
  <si>
    <t>Heures / semaine</t>
  </si>
  <si>
    <t>Revenu actuel (FCFA/mois)</t>
  </si>
  <si>
    <t>Revenu potentiel estimé (FCFA/mois)</t>
  </si>
  <si>
    <t>Variation potentielle (%)</t>
  </si>
  <si>
    <t>Volume plastique traité (kg/mois)</t>
  </si>
  <si>
    <t>Collecteur</t>
  </si>
  <si>
    <t>Artisan</t>
  </si>
  <si>
    <t>MÉTHODOLOGIE ET LIMITES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</si>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</sst>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FFFFFF"/>
      <name val="Arial"/>
      <charset val="1"/>
    </font>
    <font>
      <sz val="10"/>
      <name val="Arial"/>
      <charset val="1"/>
    </font>
    <font>
      <b/>
      <sz val="10"/>
      <name val="Arial"/>
      <charset val="1"/>
    </font>
    <font>
      <b/>
      <sz val="10"/>
      <color rgb="FFFFFFFF"/>
      <name val="Arial"/>
      <charset val="1"/>
    </font>
    <font>
      <i/>
      <sz val="9"/>
      <name val="Arial"/>
      <charset val="1"/>
    </font>
  </fonts>
  <fills count="5">
    <fill>
      <patternFill patternType="none"/>
    </fill>
    <fill>
      <patternFill patternType="gray125"/>
    </fill>
    <fill>
      <patternFill patternType="solid">
        <fgColor rgb="FF1F4E5F"/>
        <bgColor rgb="FF333333"/>
      </patternFill>
    </fill>
    <fill>
      <patternFill patternType="solid">
        <fgColor rgb="FF2E75B6"/>
        <bgColor rgb="FF0066CC"/>
      </patternFill>
    </fill>
    <fill>
      <patternFill patternType="solid">
        <fgColor rgb="FFFFF2CC"/>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5" fillId="4" borderId="0" xfId="0" applyFont="1" applyFill="1" applyBorder="1" applyAlignment="1">
      <alignment vertical="top" wrapText="1"/>
    </xf>
    <xf numFmtId="0" fontId="1" fillId="2" borderId="0" xfId="0" applyFont="1" applyFill="1" applyBorder="1"/>
    <xf numFmtId="0" fontId="3" fillId="0" borderId="0" xfId="0" applyFont="1" applyBorder="1"/>
    <xf numFmtId="0" fontId="5" fillId="4" borderId="0" xfId="0" applyFont="1" applyFill="1" applyBorder="1" applyAlignment="1">
      <alignment vertical="center" wrapText="1"/>
    </xf>
    <xf numFmtId="0" fontId="1" fillId="2" borderId="0" xfId="0" applyFont="1" applyFill="1" applyBorder="1" applyAlignment="1"/>
    <xf numFmtId="0" fontId="0" fillId="0" borderId="0" xfId="0" applyAlignment="1"/>
    <xf numFmtId="0" fontId="1" fillId="2" borderId="0" xfId="0" applyFont="1" applyFill="1" applyAlignment="1"/>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4" fillId="3"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left"/>
    </xf>
    <xf numFmtId="0" fontId="3" fillId="0" borderId="1" xfId="0" applyFont="1" applyBorder="1" applyAlignment="1">
      <alignment vertical="center" wrapText="1"/>
    </xf>
    <xf numFmtId="164" fontId="2" fillId="0" borderId="1" xfId="0" applyNumberFormat="1" applyFont="1" applyBorder="1" applyAlignment="1">
      <alignment horizontal="center"/>
    </xf>
    <xf numFmtId="164" fontId="3" fillId="0" borderId="1" xfId="0" applyNumberFormat="1" applyFont="1" applyBorder="1" applyAlignment="1">
      <alignment horizontal="center"/>
    </xf>
    <xf numFmtId="0" fontId="2" fillId="0" borderId="1" xfId="0" applyFont="1" applyBorder="1" applyAlignment="1">
      <alignment vertical="center" wrapText="1"/>
    </xf>
    <xf numFmtId="0" fontId="3" fillId="0" borderId="1" xfId="0" applyFont="1" applyBorder="1"/>
    <xf numFmtId="3" fontId="2"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topLeftCell="A23" zoomScaleNormal="100" workbookViewId="0">
      <selection activeCell="A15" sqref="A15"/>
    </sheetView>
  </sheetViews>
  <sheetFormatPr baseColWidth="10" defaultColWidth="8.7109375" defaultRowHeight="15" x14ac:dyDescent="0.25"/>
  <cols>
    <col min="1" max="1" width="110" style="6" customWidth="1"/>
  </cols>
  <sheetData>
    <row r="1" spans="1:1" ht="30" customHeight="1" x14ac:dyDescent="0.25">
      <c r="A1" s="7" t="s">
        <v>0</v>
      </c>
    </row>
    <row r="2" spans="1:1" ht="15" customHeight="1" x14ac:dyDescent="0.25">
      <c r="A2" s="8"/>
    </row>
    <row r="3" spans="1:1" ht="15" customHeight="1" x14ac:dyDescent="0.25">
      <c r="A3" s="9" t="s">
        <v>1</v>
      </c>
    </row>
    <row r="4" spans="1:1" ht="53.25" customHeight="1" x14ac:dyDescent="0.25">
      <c r="A4" s="8" t="s">
        <v>2</v>
      </c>
    </row>
    <row r="5" spans="1:1" ht="15" customHeight="1" x14ac:dyDescent="0.25">
      <c r="A5" s="8" t="s">
        <v>2</v>
      </c>
    </row>
    <row r="6" spans="1:1" ht="48" customHeight="1" x14ac:dyDescent="0.25">
      <c r="A6" s="8" t="s">
        <v>3</v>
      </c>
    </row>
    <row r="7" spans="1:1" ht="15" customHeight="1" x14ac:dyDescent="0.25">
      <c r="A7" s="8"/>
    </row>
    <row r="8" spans="1:1" ht="15" customHeight="1" x14ac:dyDescent="0.25">
      <c r="A8" s="9" t="s">
        <v>4</v>
      </c>
    </row>
    <row r="9" spans="1:1" ht="53.25" customHeight="1" x14ac:dyDescent="0.25">
      <c r="A9" s="8" t="s">
        <v>5</v>
      </c>
    </row>
    <row r="10" spans="1:1" ht="15" customHeight="1" x14ac:dyDescent="0.25">
      <c r="A10" s="8"/>
    </row>
    <row r="11" spans="1:1" ht="15" customHeight="1" x14ac:dyDescent="0.25">
      <c r="A11" s="9" t="s">
        <v>87</v>
      </c>
    </row>
    <row r="12" spans="1:1" ht="30" customHeight="1" x14ac:dyDescent="0.25">
      <c r="A12" s="8" t="s">
        <v>6</v>
      </c>
    </row>
    <row r="13" spans="1:1" ht="30" customHeight="1" x14ac:dyDescent="0.25">
      <c r="A13" s="8" t="s">
        <v>7</v>
      </c>
    </row>
    <row r="14" spans="1:1" ht="30" customHeight="1" x14ac:dyDescent="0.25">
      <c r="A14" s="8" t="s">
        <v>8</v>
      </c>
    </row>
    <row r="15" spans="1:1" ht="30" customHeight="1" x14ac:dyDescent="0.25">
      <c r="A15" s="8" t="s">
        <v>9</v>
      </c>
    </row>
    <row r="16" spans="1:1" ht="15" customHeight="1" x14ac:dyDescent="0.25">
      <c r="A16" s="8"/>
    </row>
    <row r="17" spans="1:1" ht="15" customHeight="1" x14ac:dyDescent="0.25">
      <c r="A17" s="9" t="s">
        <v>10</v>
      </c>
    </row>
    <row r="18" spans="1:1" ht="15" customHeight="1" x14ac:dyDescent="0.25">
      <c r="A18" s="8" t="s">
        <v>11</v>
      </c>
    </row>
    <row r="19" spans="1:1" ht="30" customHeight="1" x14ac:dyDescent="0.25">
      <c r="A19" s="8" t="s">
        <v>12</v>
      </c>
    </row>
    <row r="20" spans="1:1" ht="30" customHeight="1" x14ac:dyDescent="0.25">
      <c r="A20" s="8" t="s">
        <v>13</v>
      </c>
    </row>
    <row r="22" spans="1:1" ht="15" customHeight="1" x14ac:dyDescent="0.25">
      <c r="A22" s="10" t="s">
        <v>14</v>
      </c>
    </row>
    <row r="23" spans="1:1" ht="15" customHeight="1" x14ac:dyDescent="0.25">
      <c r="A23" s="8" t="s">
        <v>15</v>
      </c>
    </row>
    <row r="24" spans="1:1" ht="27.75" customHeight="1" x14ac:dyDescent="0.25">
      <c r="A24" s="8" t="s">
        <v>16</v>
      </c>
    </row>
    <row r="25" spans="1:1" ht="27.75" customHeight="1" x14ac:dyDescent="0.25">
      <c r="A25" s="8" t="s">
        <v>17</v>
      </c>
    </row>
    <row r="26" spans="1:1" ht="27.75" customHeight="1" x14ac:dyDescent="0.25">
      <c r="A26" s="8" t="s">
        <v>18</v>
      </c>
    </row>
    <row r="27" spans="1:1" ht="15" customHeight="1" x14ac:dyDescent="0.25">
      <c r="A27" s="8"/>
    </row>
    <row r="28" spans="1:1" ht="27.75" customHeight="1" x14ac:dyDescent="0.25">
      <c r="A28" s="8"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1"/>
  <sheetViews>
    <sheetView zoomScaleNormal="100" workbookViewId="0">
      <pane ySplit="1" topLeftCell="A116" activePane="bottomLeft" state="frozen"/>
      <selection pane="bottomLeft"/>
    </sheetView>
  </sheetViews>
  <sheetFormatPr baseColWidth="10" defaultColWidth="8.7109375" defaultRowHeight="15" x14ac:dyDescent="0.25"/>
  <cols>
    <col min="1" max="1" width="6" style="6" customWidth="1"/>
    <col min="2" max="3" width="14" style="6" customWidth="1"/>
    <col min="4" max="4" width="24" style="6" customWidth="1"/>
    <col min="5" max="5" width="22" style="6" customWidth="1"/>
    <col min="6" max="6" width="26" style="6" customWidth="1"/>
    <col min="7" max="7" width="24" style="6" customWidth="1"/>
    <col min="8" max="8" width="26" style="6" customWidth="1"/>
    <col min="9" max="9" width="20" style="6" customWidth="1"/>
  </cols>
  <sheetData>
    <row r="1" spans="1:9" ht="45" customHeight="1" x14ac:dyDescent="0.25">
      <c r="A1" s="11" t="s">
        <v>20</v>
      </c>
      <c r="B1" s="11" t="s">
        <v>21</v>
      </c>
      <c r="C1" s="11" t="s">
        <v>22</v>
      </c>
      <c r="D1" s="11" t="s">
        <v>23</v>
      </c>
      <c r="E1" s="11" t="s">
        <v>24</v>
      </c>
      <c r="F1" s="11" t="s">
        <v>25</v>
      </c>
      <c r="G1" s="11" t="s">
        <v>26</v>
      </c>
      <c r="H1" s="11" t="s">
        <v>27</v>
      </c>
      <c r="I1" s="11" t="s">
        <v>28</v>
      </c>
    </row>
    <row r="2" spans="1:9" ht="15" customHeight="1" x14ac:dyDescent="0.25">
      <c r="A2" s="12">
        <v>1</v>
      </c>
      <c r="B2" s="13" t="s">
        <v>29</v>
      </c>
      <c r="C2" s="12">
        <v>3</v>
      </c>
      <c r="D2" s="12" t="s">
        <v>30</v>
      </c>
      <c r="E2" s="12" t="s">
        <v>31</v>
      </c>
      <c r="F2" s="12" t="s">
        <v>31</v>
      </c>
      <c r="G2" s="12" t="s">
        <v>32</v>
      </c>
      <c r="H2" s="12" t="s">
        <v>33</v>
      </c>
      <c r="I2" s="12">
        <v>45000</v>
      </c>
    </row>
    <row r="3" spans="1:9" ht="15" customHeight="1" x14ac:dyDescent="0.25">
      <c r="A3" s="12">
        <v>2</v>
      </c>
      <c r="B3" s="13" t="s">
        <v>29</v>
      </c>
      <c r="C3" s="12">
        <v>6</v>
      </c>
      <c r="D3" s="12" t="s">
        <v>30</v>
      </c>
      <c r="E3" s="12" t="s">
        <v>31</v>
      </c>
      <c r="F3" s="12" t="s">
        <v>31</v>
      </c>
      <c r="G3" s="12" t="s">
        <v>32</v>
      </c>
      <c r="H3" s="12" t="s">
        <v>32</v>
      </c>
      <c r="I3" s="12">
        <v>130000</v>
      </c>
    </row>
    <row r="4" spans="1:9" ht="15" customHeight="1" x14ac:dyDescent="0.25">
      <c r="A4" s="12">
        <v>3</v>
      </c>
      <c r="B4" s="13" t="s">
        <v>29</v>
      </c>
      <c r="C4" s="12">
        <v>4</v>
      </c>
      <c r="D4" s="12" t="s">
        <v>30</v>
      </c>
      <c r="E4" s="12" t="s">
        <v>31</v>
      </c>
      <c r="F4" s="12" t="s">
        <v>33</v>
      </c>
      <c r="G4" s="12" t="s">
        <v>32</v>
      </c>
      <c r="H4" s="12" t="s">
        <v>31</v>
      </c>
      <c r="I4" s="12">
        <v>130000</v>
      </c>
    </row>
    <row r="5" spans="1:9" ht="15" customHeight="1" x14ac:dyDescent="0.25">
      <c r="A5" s="12">
        <v>4</v>
      </c>
      <c r="B5" s="13" t="s">
        <v>29</v>
      </c>
      <c r="C5" s="12">
        <v>5</v>
      </c>
      <c r="D5" s="12" t="s">
        <v>30</v>
      </c>
      <c r="E5" s="12" t="s">
        <v>31</v>
      </c>
      <c r="F5" s="12" t="s">
        <v>32</v>
      </c>
      <c r="G5" s="12" t="s">
        <v>31</v>
      </c>
      <c r="H5" s="12" t="s">
        <v>31</v>
      </c>
      <c r="I5" s="12">
        <v>110000</v>
      </c>
    </row>
    <row r="6" spans="1:9" ht="15" customHeight="1" x14ac:dyDescent="0.25">
      <c r="A6" s="12">
        <v>5</v>
      </c>
      <c r="B6" s="13" t="s">
        <v>29</v>
      </c>
      <c r="C6" s="12">
        <v>5</v>
      </c>
      <c r="D6" s="12" t="s">
        <v>34</v>
      </c>
      <c r="E6" s="12" t="s">
        <v>32</v>
      </c>
      <c r="F6" s="12" t="s">
        <v>33</v>
      </c>
      <c r="G6" s="12" t="s">
        <v>32</v>
      </c>
      <c r="H6" s="12" t="s">
        <v>33</v>
      </c>
      <c r="I6" s="12">
        <v>130000</v>
      </c>
    </row>
    <row r="7" spans="1:9" ht="15" customHeight="1" x14ac:dyDescent="0.25">
      <c r="A7" s="12">
        <v>6</v>
      </c>
      <c r="B7" s="13" t="s">
        <v>29</v>
      </c>
      <c r="C7" s="12">
        <v>3</v>
      </c>
      <c r="D7" s="12" t="s">
        <v>34</v>
      </c>
      <c r="E7" s="12" t="s">
        <v>32</v>
      </c>
      <c r="F7" s="12" t="s">
        <v>32</v>
      </c>
      <c r="G7" s="12" t="s">
        <v>32</v>
      </c>
      <c r="H7" s="12" t="s">
        <v>32</v>
      </c>
      <c r="I7" s="12">
        <v>45000</v>
      </c>
    </row>
    <row r="8" spans="1:9" ht="15" customHeight="1" x14ac:dyDescent="0.25">
      <c r="A8" s="12">
        <v>7</v>
      </c>
      <c r="B8" s="13" t="s">
        <v>29</v>
      </c>
      <c r="C8" s="12">
        <v>2</v>
      </c>
      <c r="D8" s="12" t="s">
        <v>34</v>
      </c>
      <c r="E8" s="12" t="s">
        <v>32</v>
      </c>
      <c r="F8" s="12" t="s">
        <v>33</v>
      </c>
      <c r="G8" s="12" t="s">
        <v>32</v>
      </c>
      <c r="H8" s="12" t="s">
        <v>33</v>
      </c>
      <c r="I8" s="12">
        <v>130000</v>
      </c>
    </row>
    <row r="9" spans="1:9" ht="15" customHeight="1" x14ac:dyDescent="0.25">
      <c r="A9" s="12">
        <v>8</v>
      </c>
      <c r="B9" s="13" t="s">
        <v>29</v>
      </c>
      <c r="C9" s="12">
        <v>5</v>
      </c>
      <c r="D9" s="12" t="s">
        <v>30</v>
      </c>
      <c r="E9" s="12" t="s">
        <v>32</v>
      </c>
      <c r="F9" s="12" t="s">
        <v>31</v>
      </c>
      <c r="G9" s="12" t="s">
        <v>32</v>
      </c>
      <c r="H9" s="12" t="s">
        <v>33</v>
      </c>
      <c r="I9" s="12">
        <v>45000</v>
      </c>
    </row>
    <row r="10" spans="1:9" ht="15" customHeight="1" x14ac:dyDescent="0.25">
      <c r="A10" s="12">
        <v>9</v>
      </c>
      <c r="B10" s="13" t="s">
        <v>29</v>
      </c>
      <c r="C10" s="12">
        <v>4</v>
      </c>
      <c r="D10" s="12" t="s">
        <v>34</v>
      </c>
      <c r="E10" s="12" t="s">
        <v>31</v>
      </c>
      <c r="F10" s="12" t="s">
        <v>31</v>
      </c>
      <c r="G10" s="12" t="s">
        <v>31</v>
      </c>
      <c r="H10" s="12" t="s">
        <v>33</v>
      </c>
      <c r="I10" s="12">
        <v>75000</v>
      </c>
    </row>
    <row r="11" spans="1:9" ht="15" customHeight="1" x14ac:dyDescent="0.25">
      <c r="A11" s="12">
        <v>10</v>
      </c>
      <c r="B11" s="13" t="s">
        <v>29</v>
      </c>
      <c r="C11" s="12">
        <v>5</v>
      </c>
      <c r="D11" s="12" t="s">
        <v>34</v>
      </c>
      <c r="E11" s="12" t="s">
        <v>32</v>
      </c>
      <c r="F11" s="12" t="s">
        <v>31</v>
      </c>
      <c r="G11" s="12" t="s">
        <v>31</v>
      </c>
      <c r="H11" s="12" t="s">
        <v>31</v>
      </c>
      <c r="I11" s="12">
        <v>90000</v>
      </c>
    </row>
    <row r="12" spans="1:9" ht="15" customHeight="1" x14ac:dyDescent="0.25">
      <c r="A12" s="12">
        <v>11</v>
      </c>
      <c r="B12" s="13" t="s">
        <v>29</v>
      </c>
      <c r="C12" s="12">
        <v>3</v>
      </c>
      <c r="D12" s="12" t="s">
        <v>30</v>
      </c>
      <c r="E12" s="12" t="s">
        <v>32</v>
      </c>
      <c r="F12" s="12" t="s">
        <v>33</v>
      </c>
      <c r="G12" s="12" t="s">
        <v>32</v>
      </c>
      <c r="H12" s="12" t="s">
        <v>33</v>
      </c>
      <c r="I12" s="12">
        <v>130000</v>
      </c>
    </row>
    <row r="13" spans="1:9" ht="15" customHeight="1" x14ac:dyDescent="0.25">
      <c r="A13" s="12">
        <v>12</v>
      </c>
      <c r="B13" s="13" t="s">
        <v>29</v>
      </c>
      <c r="C13" s="12">
        <v>7</v>
      </c>
      <c r="D13" s="12" t="s">
        <v>30</v>
      </c>
      <c r="E13" s="12" t="s">
        <v>31</v>
      </c>
      <c r="F13" s="12" t="s">
        <v>32</v>
      </c>
      <c r="G13" s="12" t="s">
        <v>32</v>
      </c>
      <c r="H13" s="12" t="s">
        <v>33</v>
      </c>
      <c r="I13" s="12">
        <v>130000</v>
      </c>
    </row>
    <row r="14" spans="1:9" ht="15" customHeight="1" x14ac:dyDescent="0.25">
      <c r="A14" s="12">
        <v>13</v>
      </c>
      <c r="B14" s="13" t="s">
        <v>29</v>
      </c>
      <c r="C14" s="12">
        <v>6</v>
      </c>
      <c r="D14" s="12" t="s">
        <v>30</v>
      </c>
      <c r="E14" s="12" t="s">
        <v>32</v>
      </c>
      <c r="F14" s="12" t="s">
        <v>31</v>
      </c>
      <c r="G14" s="12" t="s">
        <v>32</v>
      </c>
      <c r="H14" s="12" t="s">
        <v>33</v>
      </c>
      <c r="I14" s="12">
        <v>45000</v>
      </c>
    </row>
    <row r="15" spans="1:9" ht="15" customHeight="1" x14ac:dyDescent="0.25">
      <c r="A15" s="12">
        <v>14</v>
      </c>
      <c r="B15" s="13" t="s">
        <v>29</v>
      </c>
      <c r="C15" s="12">
        <v>4</v>
      </c>
      <c r="D15" s="12" t="s">
        <v>34</v>
      </c>
      <c r="E15" s="12" t="s">
        <v>32</v>
      </c>
      <c r="F15" s="12" t="s">
        <v>32</v>
      </c>
      <c r="G15" s="12" t="s">
        <v>31</v>
      </c>
      <c r="H15" s="12" t="s">
        <v>31</v>
      </c>
      <c r="I15" s="12">
        <v>160000</v>
      </c>
    </row>
    <row r="16" spans="1:9" ht="15" customHeight="1" x14ac:dyDescent="0.25">
      <c r="A16" s="12">
        <v>15</v>
      </c>
      <c r="B16" s="13" t="s">
        <v>29</v>
      </c>
      <c r="C16" s="12">
        <v>8</v>
      </c>
      <c r="D16" s="12" t="s">
        <v>30</v>
      </c>
      <c r="E16" s="12" t="s">
        <v>32</v>
      </c>
      <c r="F16" s="12" t="s">
        <v>33</v>
      </c>
      <c r="G16" s="12" t="s">
        <v>32</v>
      </c>
      <c r="H16" s="12" t="s">
        <v>31</v>
      </c>
      <c r="I16" s="12">
        <v>90000</v>
      </c>
    </row>
    <row r="17" spans="1:9" ht="15" customHeight="1" x14ac:dyDescent="0.25">
      <c r="A17" s="12">
        <v>16</v>
      </c>
      <c r="B17" s="13" t="s">
        <v>29</v>
      </c>
      <c r="C17" s="12">
        <v>5</v>
      </c>
      <c r="D17" s="12" t="s">
        <v>30</v>
      </c>
      <c r="E17" s="12" t="s">
        <v>32</v>
      </c>
      <c r="F17" s="12" t="s">
        <v>32</v>
      </c>
      <c r="G17" s="12" t="s">
        <v>32</v>
      </c>
      <c r="H17" s="12" t="s">
        <v>33</v>
      </c>
      <c r="I17" s="12">
        <v>90000</v>
      </c>
    </row>
    <row r="18" spans="1:9" ht="15" customHeight="1" x14ac:dyDescent="0.25">
      <c r="A18" s="12">
        <v>17</v>
      </c>
      <c r="B18" s="13" t="s">
        <v>29</v>
      </c>
      <c r="C18" s="12">
        <v>8</v>
      </c>
      <c r="D18" s="12" t="s">
        <v>34</v>
      </c>
      <c r="E18" s="12" t="s">
        <v>32</v>
      </c>
      <c r="F18" s="12" t="s">
        <v>31</v>
      </c>
      <c r="G18" s="12" t="s">
        <v>32</v>
      </c>
      <c r="H18" s="12" t="s">
        <v>33</v>
      </c>
      <c r="I18" s="12">
        <v>75000</v>
      </c>
    </row>
    <row r="19" spans="1:9" ht="15" customHeight="1" x14ac:dyDescent="0.25">
      <c r="A19" s="12">
        <v>18</v>
      </c>
      <c r="B19" s="13" t="s">
        <v>29</v>
      </c>
      <c r="C19" s="12">
        <v>4</v>
      </c>
      <c r="D19" s="12" t="s">
        <v>30</v>
      </c>
      <c r="E19" s="12" t="s">
        <v>31</v>
      </c>
      <c r="F19" s="12" t="s">
        <v>33</v>
      </c>
      <c r="G19" s="12" t="s">
        <v>32</v>
      </c>
      <c r="H19" s="12" t="s">
        <v>33</v>
      </c>
      <c r="I19" s="12">
        <v>110000</v>
      </c>
    </row>
    <row r="20" spans="1:9" ht="15" customHeight="1" x14ac:dyDescent="0.25">
      <c r="A20" s="12">
        <v>19</v>
      </c>
      <c r="B20" s="13" t="s">
        <v>29</v>
      </c>
      <c r="C20" s="12">
        <v>7</v>
      </c>
      <c r="D20" s="12" t="s">
        <v>30</v>
      </c>
      <c r="E20" s="12" t="s">
        <v>32</v>
      </c>
      <c r="F20" s="12" t="s">
        <v>33</v>
      </c>
      <c r="G20" s="12" t="s">
        <v>32</v>
      </c>
      <c r="H20" s="12" t="s">
        <v>31</v>
      </c>
      <c r="I20" s="12">
        <v>35000</v>
      </c>
    </row>
    <row r="21" spans="1:9" ht="15" customHeight="1" x14ac:dyDescent="0.25">
      <c r="A21" s="12">
        <v>20</v>
      </c>
      <c r="B21" s="13" t="s">
        <v>29</v>
      </c>
      <c r="C21" s="12">
        <v>4</v>
      </c>
      <c r="D21" s="12" t="s">
        <v>35</v>
      </c>
      <c r="E21" s="12" t="s">
        <v>32</v>
      </c>
      <c r="F21" s="12" t="s">
        <v>31</v>
      </c>
      <c r="G21" s="12" t="s">
        <v>32</v>
      </c>
      <c r="H21" s="12" t="s">
        <v>31</v>
      </c>
      <c r="I21" s="12">
        <v>60000</v>
      </c>
    </row>
    <row r="22" spans="1:9" ht="15" customHeight="1" x14ac:dyDescent="0.25">
      <c r="A22" s="12">
        <v>21</v>
      </c>
      <c r="B22" s="13" t="s">
        <v>29</v>
      </c>
      <c r="C22" s="12">
        <v>4</v>
      </c>
      <c r="D22" s="12" t="s">
        <v>34</v>
      </c>
      <c r="E22" s="12" t="s">
        <v>32</v>
      </c>
      <c r="F22" s="12" t="s">
        <v>31</v>
      </c>
      <c r="G22" s="12" t="s">
        <v>32</v>
      </c>
      <c r="H22" s="12" t="s">
        <v>33</v>
      </c>
      <c r="I22" s="12">
        <v>75000</v>
      </c>
    </row>
    <row r="23" spans="1:9" ht="15" customHeight="1" x14ac:dyDescent="0.25">
      <c r="A23" s="12">
        <v>22</v>
      </c>
      <c r="B23" s="13" t="s">
        <v>29</v>
      </c>
      <c r="C23" s="12">
        <v>8</v>
      </c>
      <c r="D23" s="12" t="s">
        <v>34</v>
      </c>
      <c r="E23" s="12" t="s">
        <v>32</v>
      </c>
      <c r="F23" s="12" t="s">
        <v>33</v>
      </c>
      <c r="G23" s="12" t="s">
        <v>32</v>
      </c>
      <c r="H23" s="12" t="s">
        <v>33</v>
      </c>
      <c r="I23" s="12">
        <v>110000</v>
      </c>
    </row>
    <row r="24" spans="1:9" ht="15" customHeight="1" x14ac:dyDescent="0.25">
      <c r="A24" s="12">
        <v>23</v>
      </c>
      <c r="B24" s="13" t="s">
        <v>29</v>
      </c>
      <c r="C24" s="12">
        <v>7</v>
      </c>
      <c r="D24" s="12" t="s">
        <v>35</v>
      </c>
      <c r="E24" s="12" t="s">
        <v>32</v>
      </c>
      <c r="F24" s="12" t="s">
        <v>32</v>
      </c>
      <c r="G24" s="12" t="s">
        <v>31</v>
      </c>
      <c r="H24" s="12" t="s">
        <v>31</v>
      </c>
      <c r="I24" s="12">
        <v>75000</v>
      </c>
    </row>
    <row r="25" spans="1:9" ht="15" customHeight="1" x14ac:dyDescent="0.25">
      <c r="A25" s="12">
        <v>24</v>
      </c>
      <c r="B25" s="13" t="s">
        <v>29</v>
      </c>
      <c r="C25" s="12">
        <v>4</v>
      </c>
      <c r="D25" s="12" t="s">
        <v>30</v>
      </c>
      <c r="E25" s="12" t="s">
        <v>32</v>
      </c>
      <c r="F25" s="12" t="s">
        <v>31</v>
      </c>
      <c r="G25" s="12" t="s">
        <v>31</v>
      </c>
      <c r="H25" s="12" t="s">
        <v>31</v>
      </c>
      <c r="I25" s="12">
        <v>110000</v>
      </c>
    </row>
    <row r="26" spans="1:9" ht="15" customHeight="1" x14ac:dyDescent="0.25">
      <c r="A26" s="12">
        <v>25</v>
      </c>
      <c r="B26" s="13" t="s">
        <v>29</v>
      </c>
      <c r="C26" s="12">
        <v>3</v>
      </c>
      <c r="D26" s="12" t="s">
        <v>34</v>
      </c>
      <c r="E26" s="12" t="s">
        <v>31</v>
      </c>
      <c r="F26" s="12" t="s">
        <v>31</v>
      </c>
      <c r="G26" s="12" t="s">
        <v>32</v>
      </c>
      <c r="H26" s="12" t="s">
        <v>33</v>
      </c>
      <c r="I26" s="12">
        <v>160000</v>
      </c>
    </row>
    <row r="27" spans="1:9" ht="15" customHeight="1" x14ac:dyDescent="0.25">
      <c r="A27" s="12">
        <v>26</v>
      </c>
      <c r="B27" s="13" t="s">
        <v>29</v>
      </c>
      <c r="C27" s="12">
        <v>4</v>
      </c>
      <c r="D27" s="12" t="s">
        <v>34</v>
      </c>
      <c r="E27" s="12" t="s">
        <v>32</v>
      </c>
      <c r="F27" s="12" t="s">
        <v>31</v>
      </c>
      <c r="G27" s="12" t="s">
        <v>31</v>
      </c>
      <c r="H27" s="12" t="s">
        <v>31</v>
      </c>
      <c r="I27" s="12">
        <v>130000</v>
      </c>
    </row>
    <row r="28" spans="1:9" ht="15" customHeight="1" x14ac:dyDescent="0.25">
      <c r="A28" s="12">
        <v>27</v>
      </c>
      <c r="B28" s="13" t="s">
        <v>29</v>
      </c>
      <c r="C28" s="12">
        <v>6</v>
      </c>
      <c r="D28" s="12" t="s">
        <v>30</v>
      </c>
      <c r="E28" s="12" t="s">
        <v>32</v>
      </c>
      <c r="F28" s="12" t="s">
        <v>32</v>
      </c>
      <c r="G28" s="12" t="s">
        <v>32</v>
      </c>
      <c r="H28" s="12" t="s">
        <v>31</v>
      </c>
      <c r="I28" s="12">
        <v>130000</v>
      </c>
    </row>
    <row r="29" spans="1:9" ht="15" customHeight="1" x14ac:dyDescent="0.25">
      <c r="A29" s="12">
        <v>28</v>
      </c>
      <c r="B29" s="13" t="s">
        <v>29</v>
      </c>
      <c r="C29" s="12">
        <v>5</v>
      </c>
      <c r="D29" s="12" t="s">
        <v>34</v>
      </c>
      <c r="E29" s="12" t="s">
        <v>31</v>
      </c>
      <c r="F29" s="12" t="s">
        <v>31</v>
      </c>
      <c r="G29" s="12" t="s">
        <v>32</v>
      </c>
      <c r="H29" s="12" t="s">
        <v>31</v>
      </c>
      <c r="I29" s="12">
        <v>60000</v>
      </c>
    </row>
    <row r="30" spans="1:9" ht="15" customHeight="1" x14ac:dyDescent="0.25">
      <c r="A30" s="12">
        <v>29</v>
      </c>
      <c r="B30" s="13" t="s">
        <v>29</v>
      </c>
      <c r="C30" s="12">
        <v>5</v>
      </c>
      <c r="D30" s="12" t="s">
        <v>30</v>
      </c>
      <c r="E30" s="12" t="s">
        <v>32</v>
      </c>
      <c r="F30" s="12" t="s">
        <v>31</v>
      </c>
      <c r="G30" s="12" t="s">
        <v>32</v>
      </c>
      <c r="H30" s="12" t="s">
        <v>33</v>
      </c>
      <c r="I30" s="12">
        <v>45000</v>
      </c>
    </row>
    <row r="31" spans="1:9" ht="15" customHeight="1" x14ac:dyDescent="0.25">
      <c r="A31" s="12">
        <v>30</v>
      </c>
      <c r="B31" s="13" t="s">
        <v>29</v>
      </c>
      <c r="C31" s="12">
        <v>2</v>
      </c>
      <c r="D31" s="12" t="s">
        <v>34</v>
      </c>
      <c r="E31" s="12" t="s">
        <v>32</v>
      </c>
      <c r="F31" s="12" t="s">
        <v>31</v>
      </c>
      <c r="G31" s="12" t="s">
        <v>31</v>
      </c>
      <c r="H31" s="12" t="s">
        <v>32</v>
      </c>
      <c r="I31" s="12">
        <v>75000</v>
      </c>
    </row>
    <row r="32" spans="1:9" ht="15" customHeight="1" x14ac:dyDescent="0.25">
      <c r="A32" s="12">
        <v>31</v>
      </c>
      <c r="B32" s="13" t="s">
        <v>29</v>
      </c>
      <c r="C32" s="12">
        <v>4</v>
      </c>
      <c r="D32" s="12" t="s">
        <v>30</v>
      </c>
      <c r="E32" s="12" t="s">
        <v>32</v>
      </c>
      <c r="F32" s="12" t="s">
        <v>33</v>
      </c>
      <c r="G32" s="12" t="s">
        <v>32</v>
      </c>
      <c r="H32" s="12" t="s">
        <v>31</v>
      </c>
      <c r="I32" s="12">
        <v>35000</v>
      </c>
    </row>
    <row r="33" spans="1:9" ht="15" customHeight="1" x14ac:dyDescent="0.25">
      <c r="A33" s="12">
        <v>32</v>
      </c>
      <c r="B33" s="13" t="s">
        <v>29</v>
      </c>
      <c r="C33" s="12">
        <v>6</v>
      </c>
      <c r="D33" s="12" t="s">
        <v>30</v>
      </c>
      <c r="E33" s="12" t="s">
        <v>32</v>
      </c>
      <c r="F33" s="12" t="s">
        <v>32</v>
      </c>
      <c r="G33" s="12" t="s">
        <v>32</v>
      </c>
      <c r="H33" s="12" t="s">
        <v>33</v>
      </c>
      <c r="I33" s="12">
        <v>160000</v>
      </c>
    </row>
    <row r="34" spans="1:9" ht="15" customHeight="1" x14ac:dyDescent="0.25">
      <c r="A34" s="12">
        <v>33</v>
      </c>
      <c r="B34" s="13" t="s">
        <v>29</v>
      </c>
      <c r="C34" s="12">
        <v>4</v>
      </c>
      <c r="D34" s="12" t="s">
        <v>30</v>
      </c>
      <c r="E34" s="12" t="s">
        <v>31</v>
      </c>
      <c r="F34" s="12" t="s">
        <v>31</v>
      </c>
      <c r="G34" s="12" t="s">
        <v>32</v>
      </c>
      <c r="H34" s="12" t="s">
        <v>31</v>
      </c>
      <c r="I34" s="12">
        <v>110000</v>
      </c>
    </row>
    <row r="35" spans="1:9" ht="15" customHeight="1" x14ac:dyDescent="0.25">
      <c r="A35" s="12">
        <v>34</v>
      </c>
      <c r="B35" s="13" t="s">
        <v>29</v>
      </c>
      <c r="C35" s="12">
        <v>2</v>
      </c>
      <c r="D35" s="12" t="s">
        <v>30</v>
      </c>
      <c r="E35" s="12" t="s">
        <v>32</v>
      </c>
      <c r="F35" s="12" t="s">
        <v>33</v>
      </c>
      <c r="G35" s="12" t="s">
        <v>32</v>
      </c>
      <c r="H35" s="12" t="s">
        <v>31</v>
      </c>
      <c r="I35" s="12">
        <v>45000</v>
      </c>
    </row>
    <row r="36" spans="1:9" ht="15" customHeight="1" x14ac:dyDescent="0.25">
      <c r="A36" s="12">
        <v>35</v>
      </c>
      <c r="B36" s="13" t="s">
        <v>29</v>
      </c>
      <c r="C36" s="12">
        <v>4</v>
      </c>
      <c r="D36" s="12" t="s">
        <v>30</v>
      </c>
      <c r="E36" s="12" t="s">
        <v>31</v>
      </c>
      <c r="F36" s="12" t="s">
        <v>33</v>
      </c>
      <c r="G36" s="12" t="s">
        <v>32</v>
      </c>
      <c r="H36" s="12" t="s">
        <v>33</v>
      </c>
      <c r="I36" s="12">
        <v>75000</v>
      </c>
    </row>
    <row r="37" spans="1:9" ht="15" customHeight="1" x14ac:dyDescent="0.25">
      <c r="A37" s="12">
        <v>36</v>
      </c>
      <c r="B37" s="13" t="s">
        <v>29</v>
      </c>
      <c r="C37" s="12">
        <v>2</v>
      </c>
      <c r="D37" s="12" t="s">
        <v>34</v>
      </c>
      <c r="E37" s="12" t="s">
        <v>32</v>
      </c>
      <c r="F37" s="12" t="s">
        <v>32</v>
      </c>
      <c r="G37" s="12" t="s">
        <v>32</v>
      </c>
      <c r="H37" s="12" t="s">
        <v>33</v>
      </c>
      <c r="I37" s="12">
        <v>75000</v>
      </c>
    </row>
    <row r="38" spans="1:9" ht="15" customHeight="1" x14ac:dyDescent="0.25">
      <c r="A38" s="12">
        <v>37</v>
      </c>
      <c r="B38" s="13" t="s">
        <v>29</v>
      </c>
      <c r="C38" s="12">
        <v>5</v>
      </c>
      <c r="D38" s="12" t="s">
        <v>30</v>
      </c>
      <c r="E38" s="12" t="s">
        <v>32</v>
      </c>
      <c r="F38" s="12" t="s">
        <v>32</v>
      </c>
      <c r="G38" s="12" t="s">
        <v>31</v>
      </c>
      <c r="H38" s="12" t="s">
        <v>31</v>
      </c>
      <c r="I38" s="12">
        <v>45000</v>
      </c>
    </row>
    <row r="39" spans="1:9" ht="15" customHeight="1" x14ac:dyDescent="0.25">
      <c r="A39" s="12">
        <v>38</v>
      </c>
      <c r="B39" s="13" t="s">
        <v>29</v>
      </c>
      <c r="C39" s="12">
        <v>2</v>
      </c>
      <c r="D39" s="12" t="s">
        <v>30</v>
      </c>
      <c r="E39" s="12" t="s">
        <v>32</v>
      </c>
      <c r="F39" s="12" t="s">
        <v>33</v>
      </c>
      <c r="G39" s="12" t="s">
        <v>31</v>
      </c>
      <c r="H39" s="12" t="s">
        <v>31</v>
      </c>
      <c r="I39" s="12">
        <v>90000</v>
      </c>
    </row>
    <row r="40" spans="1:9" ht="15" customHeight="1" x14ac:dyDescent="0.25">
      <c r="A40" s="12">
        <v>39</v>
      </c>
      <c r="B40" s="13" t="s">
        <v>29</v>
      </c>
      <c r="C40" s="12">
        <v>4</v>
      </c>
      <c r="D40" s="12" t="s">
        <v>35</v>
      </c>
      <c r="E40" s="12" t="s">
        <v>32</v>
      </c>
      <c r="F40" s="12" t="s">
        <v>33</v>
      </c>
      <c r="G40" s="12" t="s">
        <v>32</v>
      </c>
      <c r="H40" s="12" t="s">
        <v>31</v>
      </c>
      <c r="I40" s="12">
        <v>90000</v>
      </c>
    </row>
    <row r="41" spans="1:9" ht="15" customHeight="1" x14ac:dyDescent="0.25">
      <c r="A41" s="12">
        <v>40</v>
      </c>
      <c r="B41" s="13" t="s">
        <v>29</v>
      </c>
      <c r="C41" s="12">
        <v>8</v>
      </c>
      <c r="D41" s="12" t="s">
        <v>30</v>
      </c>
      <c r="E41" s="12" t="s">
        <v>32</v>
      </c>
      <c r="F41" s="12" t="s">
        <v>32</v>
      </c>
      <c r="G41" s="12" t="s">
        <v>32</v>
      </c>
      <c r="H41" s="12" t="s">
        <v>33</v>
      </c>
      <c r="I41" s="12">
        <v>60000</v>
      </c>
    </row>
    <row r="42" spans="1:9" ht="15" customHeight="1" x14ac:dyDescent="0.25">
      <c r="A42" s="12">
        <v>41</v>
      </c>
      <c r="B42" s="13" t="s">
        <v>36</v>
      </c>
      <c r="C42" s="12">
        <v>5</v>
      </c>
      <c r="D42" s="12" t="s">
        <v>30</v>
      </c>
      <c r="E42" s="12" t="s">
        <v>31</v>
      </c>
      <c r="F42" s="12" t="s">
        <v>31</v>
      </c>
      <c r="G42" s="12" t="s">
        <v>31</v>
      </c>
      <c r="H42" s="12" t="s">
        <v>31</v>
      </c>
      <c r="I42" s="12">
        <v>110000</v>
      </c>
    </row>
    <row r="43" spans="1:9" ht="15" customHeight="1" x14ac:dyDescent="0.25">
      <c r="A43" s="12">
        <v>42</v>
      </c>
      <c r="B43" s="13" t="s">
        <v>36</v>
      </c>
      <c r="C43" s="12">
        <v>4</v>
      </c>
      <c r="D43" s="12" t="s">
        <v>34</v>
      </c>
      <c r="E43" s="12" t="s">
        <v>32</v>
      </c>
      <c r="F43" s="12" t="s">
        <v>32</v>
      </c>
      <c r="G43" s="12" t="s">
        <v>31</v>
      </c>
      <c r="H43" s="12" t="s">
        <v>33</v>
      </c>
      <c r="I43" s="12">
        <v>35000</v>
      </c>
    </row>
    <row r="44" spans="1:9" ht="15" customHeight="1" x14ac:dyDescent="0.25">
      <c r="A44" s="12">
        <v>43</v>
      </c>
      <c r="B44" s="13" t="s">
        <v>36</v>
      </c>
      <c r="C44" s="12">
        <v>3</v>
      </c>
      <c r="D44" s="12" t="s">
        <v>34</v>
      </c>
      <c r="E44" s="12" t="s">
        <v>32</v>
      </c>
      <c r="F44" s="12" t="s">
        <v>31</v>
      </c>
      <c r="G44" s="12" t="s">
        <v>31</v>
      </c>
      <c r="H44" s="12" t="s">
        <v>31</v>
      </c>
      <c r="I44" s="12">
        <v>90000</v>
      </c>
    </row>
    <row r="45" spans="1:9" ht="15" customHeight="1" x14ac:dyDescent="0.25">
      <c r="A45" s="12">
        <v>44</v>
      </c>
      <c r="B45" s="13" t="s">
        <v>36</v>
      </c>
      <c r="C45" s="12">
        <v>4</v>
      </c>
      <c r="D45" s="12" t="s">
        <v>34</v>
      </c>
      <c r="E45" s="12" t="s">
        <v>32</v>
      </c>
      <c r="F45" s="12" t="s">
        <v>32</v>
      </c>
      <c r="G45" s="12" t="s">
        <v>31</v>
      </c>
      <c r="H45" s="12" t="s">
        <v>31</v>
      </c>
      <c r="I45" s="12">
        <v>60000</v>
      </c>
    </row>
    <row r="46" spans="1:9" ht="15" customHeight="1" x14ac:dyDescent="0.25">
      <c r="A46" s="12">
        <v>45</v>
      </c>
      <c r="B46" s="13" t="s">
        <v>36</v>
      </c>
      <c r="C46" s="12">
        <v>8</v>
      </c>
      <c r="D46" s="12" t="s">
        <v>30</v>
      </c>
      <c r="E46" s="12" t="s">
        <v>31</v>
      </c>
      <c r="F46" s="12" t="s">
        <v>31</v>
      </c>
      <c r="G46" s="12" t="s">
        <v>32</v>
      </c>
      <c r="H46" s="12" t="s">
        <v>31</v>
      </c>
      <c r="I46" s="12">
        <v>110000</v>
      </c>
    </row>
    <row r="47" spans="1:9" ht="15" customHeight="1" x14ac:dyDescent="0.25">
      <c r="A47" s="12">
        <v>46</v>
      </c>
      <c r="B47" s="13" t="s">
        <v>36</v>
      </c>
      <c r="C47" s="12">
        <v>2</v>
      </c>
      <c r="D47" s="12" t="s">
        <v>35</v>
      </c>
      <c r="E47" s="12" t="s">
        <v>31</v>
      </c>
      <c r="F47" s="12" t="s">
        <v>31</v>
      </c>
      <c r="G47" s="12" t="s">
        <v>31</v>
      </c>
      <c r="H47" s="12" t="s">
        <v>32</v>
      </c>
      <c r="I47" s="12">
        <v>130000</v>
      </c>
    </row>
    <row r="48" spans="1:9" ht="15" customHeight="1" x14ac:dyDescent="0.25">
      <c r="A48" s="12">
        <v>47</v>
      </c>
      <c r="B48" s="13" t="s">
        <v>36</v>
      </c>
      <c r="C48" s="12">
        <v>4</v>
      </c>
      <c r="D48" s="12" t="s">
        <v>35</v>
      </c>
      <c r="E48" s="12" t="s">
        <v>31</v>
      </c>
      <c r="F48" s="12" t="s">
        <v>31</v>
      </c>
      <c r="G48" s="12" t="s">
        <v>32</v>
      </c>
      <c r="H48" s="12" t="s">
        <v>31</v>
      </c>
      <c r="I48" s="12">
        <v>130000</v>
      </c>
    </row>
    <row r="49" spans="1:9" ht="15" customHeight="1" x14ac:dyDescent="0.25">
      <c r="A49" s="12">
        <v>48</v>
      </c>
      <c r="B49" s="13" t="s">
        <v>36</v>
      </c>
      <c r="C49" s="12">
        <v>2</v>
      </c>
      <c r="D49" s="12" t="s">
        <v>30</v>
      </c>
      <c r="E49" s="12" t="s">
        <v>32</v>
      </c>
      <c r="F49" s="12" t="s">
        <v>33</v>
      </c>
      <c r="G49" s="12" t="s">
        <v>32</v>
      </c>
      <c r="H49" s="12" t="s">
        <v>33</v>
      </c>
      <c r="I49" s="12">
        <v>75000</v>
      </c>
    </row>
    <row r="50" spans="1:9" ht="15" customHeight="1" x14ac:dyDescent="0.25">
      <c r="A50" s="12">
        <v>49</v>
      </c>
      <c r="B50" s="13" t="s">
        <v>36</v>
      </c>
      <c r="C50" s="12">
        <v>5</v>
      </c>
      <c r="D50" s="12" t="s">
        <v>30</v>
      </c>
      <c r="E50" s="12" t="s">
        <v>32</v>
      </c>
      <c r="F50" s="12" t="s">
        <v>32</v>
      </c>
      <c r="G50" s="12" t="s">
        <v>31</v>
      </c>
      <c r="H50" s="12" t="s">
        <v>31</v>
      </c>
      <c r="I50" s="12">
        <v>75000</v>
      </c>
    </row>
    <row r="51" spans="1:9" ht="15" customHeight="1" x14ac:dyDescent="0.25">
      <c r="A51" s="12">
        <v>50</v>
      </c>
      <c r="B51" s="13" t="s">
        <v>36</v>
      </c>
      <c r="C51" s="12">
        <v>7</v>
      </c>
      <c r="D51" s="12" t="s">
        <v>30</v>
      </c>
      <c r="E51" s="12" t="s">
        <v>32</v>
      </c>
      <c r="F51" s="12" t="s">
        <v>33</v>
      </c>
      <c r="G51" s="12" t="s">
        <v>31</v>
      </c>
      <c r="H51" s="12" t="s">
        <v>31</v>
      </c>
      <c r="I51" s="12">
        <v>130000</v>
      </c>
    </row>
    <row r="52" spans="1:9" ht="15" customHeight="1" x14ac:dyDescent="0.25">
      <c r="A52" s="12">
        <v>51</v>
      </c>
      <c r="B52" s="13" t="s">
        <v>36</v>
      </c>
      <c r="C52" s="12">
        <v>5</v>
      </c>
      <c r="D52" s="12" t="s">
        <v>30</v>
      </c>
      <c r="E52" s="12" t="s">
        <v>31</v>
      </c>
      <c r="F52" s="12" t="s">
        <v>32</v>
      </c>
      <c r="G52" s="12" t="s">
        <v>32</v>
      </c>
      <c r="H52" s="12" t="s">
        <v>32</v>
      </c>
      <c r="I52" s="12">
        <v>110000</v>
      </c>
    </row>
    <row r="53" spans="1:9" ht="15" customHeight="1" x14ac:dyDescent="0.25">
      <c r="A53" s="12">
        <v>52</v>
      </c>
      <c r="B53" s="13" t="s">
        <v>36</v>
      </c>
      <c r="C53" s="12">
        <v>2</v>
      </c>
      <c r="D53" s="12" t="s">
        <v>30</v>
      </c>
      <c r="E53" s="12" t="s">
        <v>32</v>
      </c>
      <c r="F53" s="12" t="s">
        <v>31</v>
      </c>
      <c r="G53" s="12" t="s">
        <v>32</v>
      </c>
      <c r="H53" s="12" t="s">
        <v>31</v>
      </c>
      <c r="I53" s="12">
        <v>45000</v>
      </c>
    </row>
    <row r="54" spans="1:9" ht="15" customHeight="1" x14ac:dyDescent="0.25">
      <c r="A54" s="12">
        <v>53</v>
      </c>
      <c r="B54" s="13" t="s">
        <v>36</v>
      </c>
      <c r="C54" s="12">
        <v>6</v>
      </c>
      <c r="D54" s="12" t="s">
        <v>30</v>
      </c>
      <c r="E54" s="12" t="s">
        <v>32</v>
      </c>
      <c r="F54" s="12" t="s">
        <v>32</v>
      </c>
      <c r="G54" s="12" t="s">
        <v>32</v>
      </c>
      <c r="H54" s="12" t="s">
        <v>31</v>
      </c>
      <c r="I54" s="12">
        <v>75000</v>
      </c>
    </row>
    <row r="55" spans="1:9" ht="15" customHeight="1" x14ac:dyDescent="0.25">
      <c r="A55" s="12">
        <v>54</v>
      </c>
      <c r="B55" s="13" t="s">
        <v>36</v>
      </c>
      <c r="C55" s="12">
        <v>5</v>
      </c>
      <c r="D55" s="12" t="s">
        <v>30</v>
      </c>
      <c r="E55" s="12" t="s">
        <v>31</v>
      </c>
      <c r="F55" s="12" t="s">
        <v>31</v>
      </c>
      <c r="G55" s="12" t="s">
        <v>32</v>
      </c>
      <c r="H55" s="12" t="s">
        <v>33</v>
      </c>
      <c r="I55" s="12">
        <v>75000</v>
      </c>
    </row>
    <row r="56" spans="1:9" ht="15" customHeight="1" x14ac:dyDescent="0.25">
      <c r="A56" s="12">
        <v>55</v>
      </c>
      <c r="B56" s="13" t="s">
        <v>36</v>
      </c>
      <c r="C56" s="12">
        <v>5</v>
      </c>
      <c r="D56" s="12" t="s">
        <v>30</v>
      </c>
      <c r="E56" s="12" t="s">
        <v>32</v>
      </c>
      <c r="F56" s="12" t="s">
        <v>33</v>
      </c>
      <c r="G56" s="12" t="s">
        <v>32</v>
      </c>
      <c r="H56" s="12" t="s">
        <v>33</v>
      </c>
      <c r="I56" s="12">
        <v>45000</v>
      </c>
    </row>
    <row r="57" spans="1:9" ht="15" customHeight="1" x14ac:dyDescent="0.25">
      <c r="A57" s="12">
        <v>56</v>
      </c>
      <c r="B57" s="13" t="s">
        <v>36</v>
      </c>
      <c r="C57" s="12">
        <v>5</v>
      </c>
      <c r="D57" s="12" t="s">
        <v>34</v>
      </c>
      <c r="E57" s="12" t="s">
        <v>32</v>
      </c>
      <c r="F57" s="12" t="s">
        <v>32</v>
      </c>
      <c r="G57" s="12" t="s">
        <v>32</v>
      </c>
      <c r="H57" s="12" t="s">
        <v>32</v>
      </c>
      <c r="I57" s="12">
        <v>75000</v>
      </c>
    </row>
    <row r="58" spans="1:9" ht="15" customHeight="1" x14ac:dyDescent="0.25">
      <c r="A58" s="12">
        <v>57</v>
      </c>
      <c r="B58" s="13" t="s">
        <v>36</v>
      </c>
      <c r="C58" s="12">
        <v>6</v>
      </c>
      <c r="D58" s="12" t="s">
        <v>34</v>
      </c>
      <c r="E58" s="12" t="s">
        <v>31</v>
      </c>
      <c r="F58" s="12" t="s">
        <v>32</v>
      </c>
      <c r="G58" s="12" t="s">
        <v>31</v>
      </c>
      <c r="H58" s="12" t="s">
        <v>31</v>
      </c>
      <c r="I58" s="12">
        <v>130000</v>
      </c>
    </row>
    <row r="59" spans="1:9" ht="15" customHeight="1" x14ac:dyDescent="0.25">
      <c r="A59" s="12">
        <v>58</v>
      </c>
      <c r="B59" s="13" t="s">
        <v>36</v>
      </c>
      <c r="C59" s="12">
        <v>8</v>
      </c>
      <c r="D59" s="12" t="s">
        <v>34</v>
      </c>
      <c r="E59" s="12" t="s">
        <v>31</v>
      </c>
      <c r="F59" s="12" t="s">
        <v>31</v>
      </c>
      <c r="G59" s="12" t="s">
        <v>32</v>
      </c>
      <c r="H59" s="12" t="s">
        <v>32</v>
      </c>
      <c r="I59" s="12">
        <v>110000</v>
      </c>
    </row>
    <row r="60" spans="1:9" ht="15" customHeight="1" x14ac:dyDescent="0.25">
      <c r="A60" s="12">
        <v>59</v>
      </c>
      <c r="B60" s="13" t="s">
        <v>36</v>
      </c>
      <c r="C60" s="12">
        <v>7</v>
      </c>
      <c r="D60" s="12" t="s">
        <v>30</v>
      </c>
      <c r="E60" s="12" t="s">
        <v>32</v>
      </c>
      <c r="F60" s="12" t="s">
        <v>32</v>
      </c>
      <c r="G60" s="12" t="s">
        <v>32</v>
      </c>
      <c r="H60" s="12" t="s">
        <v>33</v>
      </c>
      <c r="I60" s="12">
        <v>60000</v>
      </c>
    </row>
    <row r="61" spans="1:9" ht="15" customHeight="1" x14ac:dyDescent="0.25">
      <c r="A61" s="12">
        <v>60</v>
      </c>
      <c r="B61" s="13" t="s">
        <v>36</v>
      </c>
      <c r="C61" s="12">
        <v>3</v>
      </c>
      <c r="D61" s="12" t="s">
        <v>30</v>
      </c>
      <c r="E61" s="12" t="s">
        <v>32</v>
      </c>
      <c r="F61" s="12" t="s">
        <v>32</v>
      </c>
      <c r="G61" s="12" t="s">
        <v>31</v>
      </c>
      <c r="H61" s="12" t="s">
        <v>33</v>
      </c>
      <c r="I61" s="12">
        <v>75000</v>
      </c>
    </row>
    <row r="62" spans="1:9" ht="15" customHeight="1" x14ac:dyDescent="0.25">
      <c r="A62" s="12">
        <v>61</v>
      </c>
      <c r="B62" s="13" t="s">
        <v>36</v>
      </c>
      <c r="C62" s="12">
        <v>5</v>
      </c>
      <c r="D62" s="12" t="s">
        <v>30</v>
      </c>
      <c r="E62" s="12" t="s">
        <v>31</v>
      </c>
      <c r="F62" s="12" t="s">
        <v>31</v>
      </c>
      <c r="G62" s="12" t="s">
        <v>31</v>
      </c>
      <c r="H62" s="12" t="s">
        <v>31</v>
      </c>
      <c r="I62" s="12">
        <v>45000</v>
      </c>
    </row>
    <row r="63" spans="1:9" ht="15" customHeight="1" x14ac:dyDescent="0.25">
      <c r="A63" s="12">
        <v>62</v>
      </c>
      <c r="B63" s="13" t="s">
        <v>36</v>
      </c>
      <c r="C63" s="12">
        <v>7</v>
      </c>
      <c r="D63" s="12" t="s">
        <v>30</v>
      </c>
      <c r="E63" s="12" t="s">
        <v>32</v>
      </c>
      <c r="F63" s="12" t="s">
        <v>31</v>
      </c>
      <c r="G63" s="12" t="s">
        <v>32</v>
      </c>
      <c r="H63" s="12" t="s">
        <v>32</v>
      </c>
      <c r="I63" s="12">
        <v>75000</v>
      </c>
    </row>
    <row r="64" spans="1:9" ht="15" customHeight="1" x14ac:dyDescent="0.25">
      <c r="A64" s="12">
        <v>63</v>
      </c>
      <c r="B64" s="13" t="s">
        <v>36</v>
      </c>
      <c r="C64" s="12">
        <v>4</v>
      </c>
      <c r="D64" s="12" t="s">
        <v>34</v>
      </c>
      <c r="E64" s="12" t="s">
        <v>31</v>
      </c>
      <c r="F64" s="12" t="s">
        <v>32</v>
      </c>
      <c r="G64" s="12" t="s">
        <v>32</v>
      </c>
      <c r="H64" s="12" t="s">
        <v>31</v>
      </c>
      <c r="I64" s="12">
        <v>130000</v>
      </c>
    </row>
    <row r="65" spans="1:9" ht="15" customHeight="1" x14ac:dyDescent="0.25">
      <c r="A65" s="12">
        <v>64</v>
      </c>
      <c r="B65" s="13" t="s">
        <v>36</v>
      </c>
      <c r="C65" s="12">
        <v>4</v>
      </c>
      <c r="D65" s="12" t="s">
        <v>30</v>
      </c>
      <c r="E65" s="12" t="s">
        <v>32</v>
      </c>
      <c r="F65" s="12" t="s">
        <v>32</v>
      </c>
      <c r="G65" s="12" t="s">
        <v>31</v>
      </c>
      <c r="H65" s="12" t="s">
        <v>31</v>
      </c>
      <c r="I65" s="12">
        <v>45000</v>
      </c>
    </row>
    <row r="66" spans="1:9" ht="15" customHeight="1" x14ac:dyDescent="0.25">
      <c r="A66" s="12">
        <v>65</v>
      </c>
      <c r="B66" s="13" t="s">
        <v>36</v>
      </c>
      <c r="C66" s="12">
        <v>7</v>
      </c>
      <c r="D66" s="12" t="s">
        <v>30</v>
      </c>
      <c r="E66" s="12" t="s">
        <v>31</v>
      </c>
      <c r="F66" s="12" t="s">
        <v>31</v>
      </c>
      <c r="G66" s="12" t="s">
        <v>32</v>
      </c>
      <c r="H66" s="12" t="s">
        <v>31</v>
      </c>
      <c r="I66" s="12">
        <v>160000</v>
      </c>
    </row>
    <row r="67" spans="1:9" ht="15" customHeight="1" x14ac:dyDescent="0.25">
      <c r="A67" s="12">
        <v>66</v>
      </c>
      <c r="B67" s="13" t="s">
        <v>36</v>
      </c>
      <c r="C67" s="12">
        <v>8</v>
      </c>
      <c r="D67" s="12" t="s">
        <v>30</v>
      </c>
      <c r="E67" s="12" t="s">
        <v>32</v>
      </c>
      <c r="F67" s="12" t="s">
        <v>32</v>
      </c>
      <c r="G67" s="12" t="s">
        <v>31</v>
      </c>
      <c r="H67" s="12" t="s">
        <v>33</v>
      </c>
      <c r="I67" s="12">
        <v>160000</v>
      </c>
    </row>
    <row r="68" spans="1:9" ht="15" customHeight="1" x14ac:dyDescent="0.25">
      <c r="A68" s="12">
        <v>67</v>
      </c>
      <c r="B68" s="13" t="s">
        <v>36</v>
      </c>
      <c r="C68" s="12">
        <v>5</v>
      </c>
      <c r="D68" s="12" t="s">
        <v>34</v>
      </c>
      <c r="E68" s="12" t="s">
        <v>32</v>
      </c>
      <c r="F68" s="12" t="s">
        <v>31</v>
      </c>
      <c r="G68" s="12" t="s">
        <v>32</v>
      </c>
      <c r="H68" s="12" t="s">
        <v>32</v>
      </c>
      <c r="I68" s="12">
        <v>75000</v>
      </c>
    </row>
    <row r="69" spans="1:9" ht="15" customHeight="1" x14ac:dyDescent="0.25">
      <c r="A69" s="12">
        <v>68</v>
      </c>
      <c r="B69" s="13" t="s">
        <v>36</v>
      </c>
      <c r="C69" s="12">
        <v>5</v>
      </c>
      <c r="D69" s="12" t="s">
        <v>30</v>
      </c>
      <c r="E69" s="12" t="s">
        <v>32</v>
      </c>
      <c r="F69" s="12" t="s">
        <v>31</v>
      </c>
      <c r="G69" s="12" t="s">
        <v>31</v>
      </c>
      <c r="H69" s="12" t="s">
        <v>33</v>
      </c>
      <c r="I69" s="12">
        <v>45000</v>
      </c>
    </row>
    <row r="70" spans="1:9" ht="15" customHeight="1" x14ac:dyDescent="0.25">
      <c r="A70" s="12">
        <v>69</v>
      </c>
      <c r="B70" s="13" t="s">
        <v>36</v>
      </c>
      <c r="C70" s="12">
        <v>4</v>
      </c>
      <c r="D70" s="12" t="s">
        <v>30</v>
      </c>
      <c r="E70" s="12" t="s">
        <v>31</v>
      </c>
      <c r="F70" s="12" t="s">
        <v>31</v>
      </c>
      <c r="G70" s="12" t="s">
        <v>31</v>
      </c>
      <c r="H70" s="12" t="s">
        <v>31</v>
      </c>
      <c r="I70" s="12">
        <v>110000</v>
      </c>
    </row>
    <row r="71" spans="1:9" ht="15" customHeight="1" x14ac:dyDescent="0.25">
      <c r="A71" s="12">
        <v>70</v>
      </c>
      <c r="B71" s="13" t="s">
        <v>36</v>
      </c>
      <c r="C71" s="12">
        <v>8</v>
      </c>
      <c r="D71" s="12" t="s">
        <v>30</v>
      </c>
      <c r="E71" s="12" t="s">
        <v>31</v>
      </c>
      <c r="F71" s="12" t="s">
        <v>33</v>
      </c>
      <c r="G71" s="12" t="s">
        <v>32</v>
      </c>
      <c r="H71" s="12" t="s">
        <v>33</v>
      </c>
      <c r="I71" s="12">
        <v>35000</v>
      </c>
    </row>
    <row r="72" spans="1:9" ht="15" customHeight="1" x14ac:dyDescent="0.25">
      <c r="A72" s="12">
        <v>71</v>
      </c>
      <c r="B72" s="13" t="s">
        <v>36</v>
      </c>
      <c r="C72" s="12">
        <v>6</v>
      </c>
      <c r="D72" s="12" t="s">
        <v>30</v>
      </c>
      <c r="E72" s="12" t="s">
        <v>32</v>
      </c>
      <c r="F72" s="12" t="s">
        <v>31</v>
      </c>
      <c r="G72" s="12" t="s">
        <v>32</v>
      </c>
      <c r="H72" s="12" t="s">
        <v>33</v>
      </c>
      <c r="I72" s="12">
        <v>130000</v>
      </c>
    </row>
    <row r="73" spans="1:9" ht="15" customHeight="1" x14ac:dyDescent="0.25">
      <c r="A73" s="12">
        <v>72</v>
      </c>
      <c r="B73" s="13" t="s">
        <v>36</v>
      </c>
      <c r="C73" s="12">
        <v>8</v>
      </c>
      <c r="D73" s="12" t="s">
        <v>34</v>
      </c>
      <c r="E73" s="12" t="s">
        <v>32</v>
      </c>
      <c r="F73" s="12" t="s">
        <v>32</v>
      </c>
      <c r="G73" s="12" t="s">
        <v>31</v>
      </c>
      <c r="H73" s="12" t="s">
        <v>31</v>
      </c>
      <c r="I73" s="12">
        <v>130000</v>
      </c>
    </row>
    <row r="74" spans="1:9" ht="15" customHeight="1" x14ac:dyDescent="0.25">
      <c r="A74" s="12">
        <v>73</v>
      </c>
      <c r="B74" s="13" t="s">
        <v>36</v>
      </c>
      <c r="C74" s="12">
        <v>7</v>
      </c>
      <c r="D74" s="12" t="s">
        <v>30</v>
      </c>
      <c r="E74" s="12" t="s">
        <v>31</v>
      </c>
      <c r="F74" s="12" t="s">
        <v>31</v>
      </c>
      <c r="G74" s="12" t="s">
        <v>32</v>
      </c>
      <c r="H74" s="12" t="s">
        <v>31</v>
      </c>
      <c r="I74" s="12">
        <v>160000</v>
      </c>
    </row>
    <row r="75" spans="1:9" ht="15" customHeight="1" x14ac:dyDescent="0.25">
      <c r="A75" s="12">
        <v>74</v>
      </c>
      <c r="B75" s="13" t="s">
        <v>36</v>
      </c>
      <c r="C75" s="12">
        <v>4</v>
      </c>
      <c r="D75" s="12" t="s">
        <v>35</v>
      </c>
      <c r="E75" s="12" t="s">
        <v>32</v>
      </c>
      <c r="F75" s="12" t="s">
        <v>33</v>
      </c>
      <c r="G75" s="12" t="s">
        <v>32</v>
      </c>
      <c r="H75" s="12" t="s">
        <v>33</v>
      </c>
      <c r="I75" s="12">
        <v>45000</v>
      </c>
    </row>
    <row r="76" spans="1:9" ht="15" customHeight="1" x14ac:dyDescent="0.25">
      <c r="A76" s="12">
        <v>75</v>
      </c>
      <c r="B76" s="13" t="s">
        <v>36</v>
      </c>
      <c r="C76" s="12">
        <v>6</v>
      </c>
      <c r="D76" s="12" t="s">
        <v>30</v>
      </c>
      <c r="E76" s="12" t="s">
        <v>31</v>
      </c>
      <c r="F76" s="12" t="s">
        <v>31</v>
      </c>
      <c r="G76" s="12" t="s">
        <v>32</v>
      </c>
      <c r="H76" s="12" t="s">
        <v>31</v>
      </c>
      <c r="I76" s="12">
        <v>110000</v>
      </c>
    </row>
    <row r="77" spans="1:9" ht="15" customHeight="1" x14ac:dyDescent="0.25">
      <c r="A77" s="12">
        <v>76</v>
      </c>
      <c r="B77" s="13" t="s">
        <v>36</v>
      </c>
      <c r="C77" s="12">
        <v>5</v>
      </c>
      <c r="D77" s="12" t="s">
        <v>34</v>
      </c>
      <c r="E77" s="12" t="s">
        <v>31</v>
      </c>
      <c r="F77" s="12" t="s">
        <v>32</v>
      </c>
      <c r="G77" s="12" t="s">
        <v>32</v>
      </c>
      <c r="H77" s="12" t="s">
        <v>31</v>
      </c>
      <c r="I77" s="12">
        <v>45000</v>
      </c>
    </row>
    <row r="78" spans="1:9" ht="15" customHeight="1" x14ac:dyDescent="0.25">
      <c r="A78" s="12">
        <v>77</v>
      </c>
      <c r="B78" s="13" t="s">
        <v>36</v>
      </c>
      <c r="C78" s="12">
        <v>7</v>
      </c>
      <c r="D78" s="12" t="s">
        <v>30</v>
      </c>
      <c r="E78" s="12" t="s">
        <v>32</v>
      </c>
      <c r="F78" s="12" t="s">
        <v>33</v>
      </c>
      <c r="G78" s="12" t="s">
        <v>31</v>
      </c>
      <c r="H78" s="12" t="s">
        <v>31</v>
      </c>
      <c r="I78" s="12">
        <v>35000</v>
      </c>
    </row>
    <row r="79" spans="1:9" ht="15" customHeight="1" x14ac:dyDescent="0.25">
      <c r="A79" s="12">
        <v>78</v>
      </c>
      <c r="B79" s="13" t="s">
        <v>36</v>
      </c>
      <c r="C79" s="12">
        <v>2</v>
      </c>
      <c r="D79" s="12" t="s">
        <v>35</v>
      </c>
      <c r="E79" s="12" t="s">
        <v>31</v>
      </c>
      <c r="F79" s="12" t="s">
        <v>31</v>
      </c>
      <c r="G79" s="12" t="s">
        <v>31</v>
      </c>
      <c r="H79" s="12" t="s">
        <v>31</v>
      </c>
      <c r="I79" s="12">
        <v>45000</v>
      </c>
    </row>
    <row r="80" spans="1:9" ht="15" customHeight="1" x14ac:dyDescent="0.25">
      <c r="A80" s="12">
        <v>79</v>
      </c>
      <c r="B80" s="13" t="s">
        <v>36</v>
      </c>
      <c r="C80" s="12">
        <v>4</v>
      </c>
      <c r="D80" s="12" t="s">
        <v>30</v>
      </c>
      <c r="E80" s="12" t="s">
        <v>31</v>
      </c>
      <c r="F80" s="12" t="s">
        <v>31</v>
      </c>
      <c r="G80" s="12" t="s">
        <v>32</v>
      </c>
      <c r="H80" s="12" t="s">
        <v>33</v>
      </c>
      <c r="I80" s="12">
        <v>45000</v>
      </c>
    </row>
    <row r="81" spans="1:9" ht="15" customHeight="1" x14ac:dyDescent="0.25">
      <c r="A81" s="12">
        <v>80</v>
      </c>
      <c r="B81" s="13" t="s">
        <v>36</v>
      </c>
      <c r="C81" s="12">
        <v>4</v>
      </c>
      <c r="D81" s="12" t="s">
        <v>35</v>
      </c>
      <c r="E81" s="12" t="s">
        <v>31</v>
      </c>
      <c r="F81" s="12" t="s">
        <v>31</v>
      </c>
      <c r="G81" s="12" t="s">
        <v>31</v>
      </c>
      <c r="H81" s="12" t="s">
        <v>31</v>
      </c>
      <c r="I81" s="12">
        <v>130000</v>
      </c>
    </row>
    <row r="82" spans="1:9" ht="15" customHeight="1" x14ac:dyDescent="0.25">
      <c r="A82" s="12">
        <v>81</v>
      </c>
      <c r="B82" s="13" t="s">
        <v>37</v>
      </c>
      <c r="C82" s="12">
        <v>6</v>
      </c>
      <c r="D82" s="12" t="s">
        <v>35</v>
      </c>
      <c r="E82" s="12" t="s">
        <v>31</v>
      </c>
      <c r="F82" s="12" t="s">
        <v>31</v>
      </c>
      <c r="G82" s="12" t="s">
        <v>32</v>
      </c>
      <c r="H82" s="12" t="s">
        <v>31</v>
      </c>
      <c r="I82" s="12">
        <v>90000</v>
      </c>
    </row>
    <row r="83" spans="1:9" ht="15" customHeight="1" x14ac:dyDescent="0.25">
      <c r="A83" s="12">
        <v>82</v>
      </c>
      <c r="B83" s="13" t="s">
        <v>37</v>
      </c>
      <c r="C83" s="12">
        <v>3</v>
      </c>
      <c r="D83" s="12" t="s">
        <v>34</v>
      </c>
      <c r="E83" s="12" t="s">
        <v>32</v>
      </c>
      <c r="F83" s="12" t="s">
        <v>31</v>
      </c>
      <c r="G83" s="12" t="s">
        <v>32</v>
      </c>
      <c r="H83" s="12" t="s">
        <v>33</v>
      </c>
      <c r="I83" s="12">
        <v>45000</v>
      </c>
    </row>
    <row r="84" spans="1:9" ht="15" customHeight="1" x14ac:dyDescent="0.25">
      <c r="A84" s="12">
        <v>83</v>
      </c>
      <c r="B84" s="13" t="s">
        <v>37</v>
      </c>
      <c r="C84" s="12">
        <v>8</v>
      </c>
      <c r="D84" s="12" t="s">
        <v>34</v>
      </c>
      <c r="E84" s="12" t="s">
        <v>31</v>
      </c>
      <c r="F84" s="12" t="s">
        <v>31</v>
      </c>
      <c r="G84" s="12" t="s">
        <v>32</v>
      </c>
      <c r="H84" s="12" t="s">
        <v>32</v>
      </c>
      <c r="I84" s="12">
        <v>110000</v>
      </c>
    </row>
    <row r="85" spans="1:9" ht="15" customHeight="1" x14ac:dyDescent="0.25">
      <c r="A85" s="12">
        <v>84</v>
      </c>
      <c r="B85" s="13" t="s">
        <v>37</v>
      </c>
      <c r="C85" s="12">
        <v>7</v>
      </c>
      <c r="D85" s="12" t="s">
        <v>34</v>
      </c>
      <c r="E85" s="12" t="s">
        <v>32</v>
      </c>
      <c r="F85" s="12" t="s">
        <v>33</v>
      </c>
      <c r="G85" s="12" t="s">
        <v>32</v>
      </c>
      <c r="H85" s="12" t="s">
        <v>31</v>
      </c>
      <c r="I85" s="12">
        <v>160000</v>
      </c>
    </row>
    <row r="86" spans="1:9" ht="15" customHeight="1" x14ac:dyDescent="0.25">
      <c r="A86" s="12">
        <v>85</v>
      </c>
      <c r="B86" s="13" t="s">
        <v>37</v>
      </c>
      <c r="C86" s="12">
        <v>7</v>
      </c>
      <c r="D86" s="12" t="s">
        <v>30</v>
      </c>
      <c r="E86" s="12" t="s">
        <v>32</v>
      </c>
      <c r="F86" s="12" t="s">
        <v>32</v>
      </c>
      <c r="G86" s="12" t="s">
        <v>32</v>
      </c>
      <c r="H86" s="12" t="s">
        <v>33</v>
      </c>
      <c r="I86" s="12">
        <v>45000</v>
      </c>
    </row>
    <row r="87" spans="1:9" ht="15" customHeight="1" x14ac:dyDescent="0.25">
      <c r="A87" s="12">
        <v>86</v>
      </c>
      <c r="B87" s="13" t="s">
        <v>37</v>
      </c>
      <c r="C87" s="12">
        <v>5</v>
      </c>
      <c r="D87" s="12" t="s">
        <v>35</v>
      </c>
      <c r="E87" s="12" t="s">
        <v>31</v>
      </c>
      <c r="F87" s="12" t="s">
        <v>31</v>
      </c>
      <c r="G87" s="12" t="s">
        <v>32</v>
      </c>
      <c r="H87" s="12" t="s">
        <v>32</v>
      </c>
      <c r="I87" s="12">
        <v>35000</v>
      </c>
    </row>
    <row r="88" spans="1:9" ht="15" customHeight="1" x14ac:dyDescent="0.25">
      <c r="A88" s="12">
        <v>87</v>
      </c>
      <c r="B88" s="13" t="s">
        <v>37</v>
      </c>
      <c r="C88" s="12">
        <v>7</v>
      </c>
      <c r="D88" s="12" t="s">
        <v>35</v>
      </c>
      <c r="E88" s="12" t="s">
        <v>31</v>
      </c>
      <c r="F88" s="12" t="s">
        <v>31</v>
      </c>
      <c r="G88" s="12" t="s">
        <v>32</v>
      </c>
      <c r="H88" s="12" t="s">
        <v>32</v>
      </c>
      <c r="I88" s="12">
        <v>90000</v>
      </c>
    </row>
    <row r="89" spans="1:9" ht="15" customHeight="1" x14ac:dyDescent="0.25">
      <c r="A89" s="12">
        <v>88</v>
      </c>
      <c r="B89" s="13" t="s">
        <v>37</v>
      </c>
      <c r="C89" s="12">
        <v>8</v>
      </c>
      <c r="D89" s="12" t="s">
        <v>30</v>
      </c>
      <c r="E89" s="12" t="s">
        <v>32</v>
      </c>
      <c r="F89" s="12" t="s">
        <v>31</v>
      </c>
      <c r="G89" s="12" t="s">
        <v>32</v>
      </c>
      <c r="H89" s="12" t="s">
        <v>32</v>
      </c>
      <c r="I89" s="12">
        <v>75000</v>
      </c>
    </row>
    <row r="90" spans="1:9" ht="15" customHeight="1" x14ac:dyDescent="0.25">
      <c r="A90" s="12">
        <v>89</v>
      </c>
      <c r="B90" s="13" t="s">
        <v>37</v>
      </c>
      <c r="C90" s="12">
        <v>7</v>
      </c>
      <c r="D90" s="12" t="s">
        <v>34</v>
      </c>
      <c r="E90" s="12" t="s">
        <v>32</v>
      </c>
      <c r="F90" s="12" t="s">
        <v>33</v>
      </c>
      <c r="G90" s="12" t="s">
        <v>31</v>
      </c>
      <c r="H90" s="12" t="s">
        <v>31</v>
      </c>
      <c r="I90" s="12">
        <v>75000</v>
      </c>
    </row>
    <row r="91" spans="1:9" ht="15" customHeight="1" x14ac:dyDescent="0.25">
      <c r="A91" s="12">
        <v>90</v>
      </c>
      <c r="B91" s="13" t="s">
        <v>37</v>
      </c>
      <c r="C91" s="12">
        <v>5</v>
      </c>
      <c r="D91" s="12" t="s">
        <v>34</v>
      </c>
      <c r="E91" s="12" t="s">
        <v>31</v>
      </c>
      <c r="F91" s="12" t="s">
        <v>31</v>
      </c>
      <c r="G91" s="12" t="s">
        <v>32</v>
      </c>
      <c r="H91" s="12" t="s">
        <v>33</v>
      </c>
      <c r="I91" s="12">
        <v>110000</v>
      </c>
    </row>
    <row r="92" spans="1:9" ht="15" customHeight="1" x14ac:dyDescent="0.25">
      <c r="A92" s="12">
        <v>91</v>
      </c>
      <c r="B92" s="13" t="s">
        <v>37</v>
      </c>
      <c r="C92" s="12">
        <v>5</v>
      </c>
      <c r="D92" s="12" t="s">
        <v>34</v>
      </c>
      <c r="E92" s="12" t="s">
        <v>31</v>
      </c>
      <c r="F92" s="12" t="s">
        <v>31</v>
      </c>
      <c r="G92" s="12" t="s">
        <v>31</v>
      </c>
      <c r="H92" s="12" t="s">
        <v>31</v>
      </c>
      <c r="I92" s="12">
        <v>45000</v>
      </c>
    </row>
    <row r="93" spans="1:9" ht="15" customHeight="1" x14ac:dyDescent="0.25">
      <c r="A93" s="12">
        <v>92</v>
      </c>
      <c r="B93" s="13" t="s">
        <v>37</v>
      </c>
      <c r="C93" s="12">
        <v>8</v>
      </c>
      <c r="D93" s="12" t="s">
        <v>35</v>
      </c>
      <c r="E93" s="12" t="s">
        <v>32</v>
      </c>
      <c r="F93" s="12" t="s">
        <v>31</v>
      </c>
      <c r="G93" s="12" t="s">
        <v>32</v>
      </c>
      <c r="H93" s="12" t="s">
        <v>31</v>
      </c>
      <c r="I93" s="12">
        <v>90000</v>
      </c>
    </row>
    <row r="94" spans="1:9" ht="15" customHeight="1" x14ac:dyDescent="0.25">
      <c r="A94" s="12">
        <v>93</v>
      </c>
      <c r="B94" s="13" t="s">
        <v>37</v>
      </c>
      <c r="C94" s="12">
        <v>3</v>
      </c>
      <c r="D94" s="12" t="s">
        <v>34</v>
      </c>
      <c r="E94" s="12" t="s">
        <v>31</v>
      </c>
      <c r="F94" s="12" t="s">
        <v>31</v>
      </c>
      <c r="G94" s="12" t="s">
        <v>31</v>
      </c>
      <c r="H94" s="12" t="s">
        <v>31</v>
      </c>
      <c r="I94" s="12">
        <v>60000</v>
      </c>
    </row>
    <row r="95" spans="1:9" ht="15" customHeight="1" x14ac:dyDescent="0.25">
      <c r="A95" s="12">
        <v>94</v>
      </c>
      <c r="B95" s="13" t="s">
        <v>37</v>
      </c>
      <c r="C95" s="12">
        <v>5</v>
      </c>
      <c r="D95" s="12" t="s">
        <v>30</v>
      </c>
      <c r="E95" s="12" t="s">
        <v>31</v>
      </c>
      <c r="F95" s="12" t="s">
        <v>31</v>
      </c>
      <c r="G95" s="12" t="s">
        <v>32</v>
      </c>
      <c r="H95" s="12" t="s">
        <v>33</v>
      </c>
      <c r="I95" s="12">
        <v>160000</v>
      </c>
    </row>
    <row r="96" spans="1:9" ht="15" customHeight="1" x14ac:dyDescent="0.25">
      <c r="A96" s="12">
        <v>95</v>
      </c>
      <c r="B96" s="13" t="s">
        <v>37</v>
      </c>
      <c r="C96" s="12">
        <v>3</v>
      </c>
      <c r="D96" s="12" t="s">
        <v>35</v>
      </c>
      <c r="E96" s="12" t="s">
        <v>32</v>
      </c>
      <c r="F96" s="12" t="s">
        <v>32</v>
      </c>
      <c r="G96" s="12" t="s">
        <v>32</v>
      </c>
      <c r="H96" s="12" t="s">
        <v>31</v>
      </c>
      <c r="I96" s="12">
        <v>35000</v>
      </c>
    </row>
    <row r="97" spans="1:9" ht="15" customHeight="1" x14ac:dyDescent="0.25">
      <c r="A97" s="12">
        <v>96</v>
      </c>
      <c r="B97" s="13" t="s">
        <v>37</v>
      </c>
      <c r="C97" s="12">
        <v>5</v>
      </c>
      <c r="D97" s="12" t="s">
        <v>35</v>
      </c>
      <c r="E97" s="12" t="s">
        <v>32</v>
      </c>
      <c r="F97" s="12" t="s">
        <v>33</v>
      </c>
      <c r="G97" s="12" t="s">
        <v>32</v>
      </c>
      <c r="H97" s="12" t="s">
        <v>31</v>
      </c>
      <c r="I97" s="12">
        <v>35000</v>
      </c>
    </row>
    <row r="98" spans="1:9" ht="15" customHeight="1" x14ac:dyDescent="0.25">
      <c r="A98" s="12">
        <v>97</v>
      </c>
      <c r="B98" s="13" t="s">
        <v>37</v>
      </c>
      <c r="C98" s="12">
        <v>4</v>
      </c>
      <c r="D98" s="12" t="s">
        <v>30</v>
      </c>
      <c r="E98" s="12" t="s">
        <v>32</v>
      </c>
      <c r="F98" s="12" t="s">
        <v>32</v>
      </c>
      <c r="G98" s="12" t="s">
        <v>32</v>
      </c>
      <c r="H98" s="12" t="s">
        <v>31</v>
      </c>
      <c r="I98" s="12">
        <v>130000</v>
      </c>
    </row>
    <row r="99" spans="1:9" ht="15" customHeight="1" x14ac:dyDescent="0.25">
      <c r="A99" s="12">
        <v>98</v>
      </c>
      <c r="B99" s="13" t="s">
        <v>37</v>
      </c>
      <c r="C99" s="12">
        <v>4</v>
      </c>
      <c r="D99" s="12" t="s">
        <v>34</v>
      </c>
      <c r="E99" s="12" t="s">
        <v>31</v>
      </c>
      <c r="F99" s="12" t="s">
        <v>33</v>
      </c>
      <c r="G99" s="12" t="s">
        <v>31</v>
      </c>
      <c r="H99" s="12" t="s">
        <v>31</v>
      </c>
      <c r="I99" s="12">
        <v>130000</v>
      </c>
    </row>
    <row r="100" spans="1:9" ht="15" customHeight="1" x14ac:dyDescent="0.25">
      <c r="A100" s="12">
        <v>99</v>
      </c>
      <c r="B100" s="13" t="s">
        <v>37</v>
      </c>
      <c r="C100" s="12">
        <v>5</v>
      </c>
      <c r="D100" s="12" t="s">
        <v>34</v>
      </c>
      <c r="E100" s="12" t="s">
        <v>31</v>
      </c>
      <c r="F100" s="12" t="s">
        <v>33</v>
      </c>
      <c r="G100" s="12" t="s">
        <v>31</v>
      </c>
      <c r="H100" s="12" t="s">
        <v>32</v>
      </c>
      <c r="I100" s="12">
        <v>75000</v>
      </c>
    </row>
    <row r="101" spans="1:9" ht="15" customHeight="1" x14ac:dyDescent="0.25">
      <c r="A101" s="12">
        <v>100</v>
      </c>
      <c r="B101" s="13" t="s">
        <v>37</v>
      </c>
      <c r="C101" s="12">
        <v>5</v>
      </c>
      <c r="D101" s="12" t="s">
        <v>34</v>
      </c>
      <c r="E101" s="12" t="s">
        <v>31</v>
      </c>
      <c r="F101" s="12" t="s">
        <v>31</v>
      </c>
      <c r="G101" s="12" t="s">
        <v>31</v>
      </c>
      <c r="H101" s="12" t="s">
        <v>31</v>
      </c>
      <c r="I101" s="12">
        <v>160000</v>
      </c>
    </row>
    <row r="102" spans="1:9" ht="15" customHeight="1" x14ac:dyDescent="0.25">
      <c r="A102" s="12">
        <v>101</v>
      </c>
      <c r="B102" s="13" t="s">
        <v>37</v>
      </c>
      <c r="C102" s="12">
        <v>7</v>
      </c>
      <c r="D102" s="12" t="s">
        <v>30</v>
      </c>
      <c r="E102" s="12" t="s">
        <v>31</v>
      </c>
      <c r="F102" s="12" t="s">
        <v>32</v>
      </c>
      <c r="G102" s="12" t="s">
        <v>32</v>
      </c>
      <c r="H102" s="12" t="s">
        <v>32</v>
      </c>
      <c r="I102" s="12">
        <v>75000</v>
      </c>
    </row>
    <row r="103" spans="1:9" ht="15" customHeight="1" x14ac:dyDescent="0.25">
      <c r="A103" s="12">
        <v>102</v>
      </c>
      <c r="B103" s="13" t="s">
        <v>37</v>
      </c>
      <c r="C103" s="12">
        <v>5</v>
      </c>
      <c r="D103" s="12" t="s">
        <v>34</v>
      </c>
      <c r="E103" s="12" t="s">
        <v>32</v>
      </c>
      <c r="F103" s="12" t="s">
        <v>32</v>
      </c>
      <c r="G103" s="12" t="s">
        <v>32</v>
      </c>
      <c r="H103" s="12" t="s">
        <v>32</v>
      </c>
      <c r="I103" s="12">
        <v>75000</v>
      </c>
    </row>
    <row r="104" spans="1:9" ht="15" customHeight="1" x14ac:dyDescent="0.25">
      <c r="A104" s="12">
        <v>103</v>
      </c>
      <c r="B104" s="13" t="s">
        <v>37</v>
      </c>
      <c r="C104" s="12">
        <v>4</v>
      </c>
      <c r="D104" s="12" t="s">
        <v>35</v>
      </c>
      <c r="E104" s="12" t="s">
        <v>32</v>
      </c>
      <c r="F104" s="12" t="s">
        <v>31</v>
      </c>
      <c r="G104" s="12" t="s">
        <v>31</v>
      </c>
      <c r="H104" s="12" t="s">
        <v>31</v>
      </c>
      <c r="I104" s="12">
        <v>90000</v>
      </c>
    </row>
    <row r="105" spans="1:9" ht="15" customHeight="1" x14ac:dyDescent="0.25">
      <c r="A105" s="12">
        <v>104</v>
      </c>
      <c r="B105" s="13" t="s">
        <v>37</v>
      </c>
      <c r="C105" s="12">
        <v>7</v>
      </c>
      <c r="D105" s="12" t="s">
        <v>30</v>
      </c>
      <c r="E105" s="12" t="s">
        <v>32</v>
      </c>
      <c r="F105" s="12" t="s">
        <v>33</v>
      </c>
      <c r="G105" s="12" t="s">
        <v>32</v>
      </c>
      <c r="H105" s="12" t="s">
        <v>32</v>
      </c>
      <c r="I105" s="12">
        <v>160000</v>
      </c>
    </row>
    <row r="106" spans="1:9" ht="15" customHeight="1" x14ac:dyDescent="0.25">
      <c r="A106" s="12">
        <v>105</v>
      </c>
      <c r="B106" s="13" t="s">
        <v>37</v>
      </c>
      <c r="C106" s="12">
        <v>7</v>
      </c>
      <c r="D106" s="12" t="s">
        <v>30</v>
      </c>
      <c r="E106" s="12" t="s">
        <v>31</v>
      </c>
      <c r="F106" s="12" t="s">
        <v>31</v>
      </c>
      <c r="G106" s="12" t="s">
        <v>31</v>
      </c>
      <c r="H106" s="12" t="s">
        <v>31</v>
      </c>
      <c r="I106" s="12">
        <v>45000</v>
      </c>
    </row>
    <row r="107" spans="1:9" ht="15" customHeight="1" x14ac:dyDescent="0.25">
      <c r="A107" s="12">
        <v>106</v>
      </c>
      <c r="B107" s="13" t="s">
        <v>37</v>
      </c>
      <c r="C107" s="12">
        <v>4</v>
      </c>
      <c r="D107" s="12" t="s">
        <v>35</v>
      </c>
      <c r="E107" s="12" t="s">
        <v>32</v>
      </c>
      <c r="F107" s="12" t="s">
        <v>32</v>
      </c>
      <c r="G107" s="12" t="s">
        <v>32</v>
      </c>
      <c r="H107" s="12" t="s">
        <v>33</v>
      </c>
      <c r="I107" s="12">
        <v>90000</v>
      </c>
    </row>
    <row r="108" spans="1:9" ht="15" customHeight="1" x14ac:dyDescent="0.25">
      <c r="A108" s="12">
        <v>107</v>
      </c>
      <c r="B108" s="13" t="s">
        <v>37</v>
      </c>
      <c r="C108" s="12">
        <v>2</v>
      </c>
      <c r="D108" s="12" t="s">
        <v>34</v>
      </c>
      <c r="E108" s="12" t="s">
        <v>31</v>
      </c>
      <c r="F108" s="12" t="s">
        <v>31</v>
      </c>
      <c r="G108" s="12" t="s">
        <v>32</v>
      </c>
      <c r="H108" s="12" t="s">
        <v>31</v>
      </c>
      <c r="I108" s="12">
        <v>130000</v>
      </c>
    </row>
    <row r="109" spans="1:9" ht="15" customHeight="1" x14ac:dyDescent="0.25">
      <c r="A109" s="12">
        <v>108</v>
      </c>
      <c r="B109" s="13" t="s">
        <v>37</v>
      </c>
      <c r="C109" s="12">
        <v>7</v>
      </c>
      <c r="D109" s="12" t="s">
        <v>35</v>
      </c>
      <c r="E109" s="12" t="s">
        <v>32</v>
      </c>
      <c r="F109" s="12" t="s">
        <v>32</v>
      </c>
      <c r="G109" s="12" t="s">
        <v>31</v>
      </c>
      <c r="H109" s="12" t="s">
        <v>31</v>
      </c>
      <c r="I109" s="12">
        <v>60000</v>
      </c>
    </row>
    <row r="110" spans="1:9" ht="15" customHeight="1" x14ac:dyDescent="0.25">
      <c r="A110" s="12">
        <v>109</v>
      </c>
      <c r="B110" s="13" t="s">
        <v>37</v>
      </c>
      <c r="C110" s="12">
        <v>5</v>
      </c>
      <c r="D110" s="12" t="s">
        <v>30</v>
      </c>
      <c r="E110" s="12" t="s">
        <v>32</v>
      </c>
      <c r="F110" s="12" t="s">
        <v>32</v>
      </c>
      <c r="G110" s="12" t="s">
        <v>32</v>
      </c>
      <c r="H110" s="12" t="s">
        <v>33</v>
      </c>
      <c r="I110" s="12">
        <v>35000</v>
      </c>
    </row>
    <row r="111" spans="1:9" ht="15" customHeight="1" x14ac:dyDescent="0.25">
      <c r="A111" s="12">
        <v>110</v>
      </c>
      <c r="B111" s="13" t="s">
        <v>37</v>
      </c>
      <c r="C111" s="12">
        <v>7</v>
      </c>
      <c r="D111" s="12" t="s">
        <v>30</v>
      </c>
      <c r="E111" s="12" t="s">
        <v>31</v>
      </c>
      <c r="F111" s="12" t="s">
        <v>31</v>
      </c>
      <c r="G111" s="12" t="s">
        <v>32</v>
      </c>
      <c r="H111" s="12" t="s">
        <v>33</v>
      </c>
      <c r="I111" s="12">
        <v>35000</v>
      </c>
    </row>
    <row r="112" spans="1:9" ht="15" customHeight="1" x14ac:dyDescent="0.25">
      <c r="A112" s="12">
        <v>111</v>
      </c>
      <c r="B112" s="13" t="s">
        <v>37</v>
      </c>
      <c r="C112" s="12">
        <v>8</v>
      </c>
      <c r="D112" s="12" t="s">
        <v>30</v>
      </c>
      <c r="E112" s="12" t="s">
        <v>31</v>
      </c>
      <c r="F112" s="12" t="s">
        <v>31</v>
      </c>
      <c r="G112" s="12" t="s">
        <v>32</v>
      </c>
      <c r="H112" s="12" t="s">
        <v>32</v>
      </c>
      <c r="I112" s="12">
        <v>160000</v>
      </c>
    </row>
    <row r="113" spans="1:9" ht="15" customHeight="1" x14ac:dyDescent="0.25">
      <c r="A113" s="12">
        <v>112</v>
      </c>
      <c r="B113" s="13" t="s">
        <v>37</v>
      </c>
      <c r="C113" s="12">
        <v>2</v>
      </c>
      <c r="D113" s="12" t="s">
        <v>30</v>
      </c>
      <c r="E113" s="12" t="s">
        <v>32</v>
      </c>
      <c r="F113" s="12" t="s">
        <v>33</v>
      </c>
      <c r="G113" s="12" t="s">
        <v>32</v>
      </c>
      <c r="H113" s="12" t="s">
        <v>33</v>
      </c>
      <c r="I113" s="12">
        <v>45000</v>
      </c>
    </row>
    <row r="114" spans="1:9" ht="15" customHeight="1" x14ac:dyDescent="0.25">
      <c r="A114" s="12">
        <v>113</v>
      </c>
      <c r="B114" s="13" t="s">
        <v>37</v>
      </c>
      <c r="C114" s="12">
        <v>2</v>
      </c>
      <c r="D114" s="12" t="s">
        <v>35</v>
      </c>
      <c r="E114" s="12" t="s">
        <v>32</v>
      </c>
      <c r="F114" s="12" t="s">
        <v>31</v>
      </c>
      <c r="G114" s="12" t="s">
        <v>31</v>
      </c>
      <c r="H114" s="12" t="s">
        <v>31</v>
      </c>
      <c r="I114" s="12">
        <v>130000</v>
      </c>
    </row>
    <row r="115" spans="1:9" ht="15" customHeight="1" x14ac:dyDescent="0.25">
      <c r="A115" s="12">
        <v>114</v>
      </c>
      <c r="B115" s="13" t="s">
        <v>37</v>
      </c>
      <c r="C115" s="12">
        <v>3</v>
      </c>
      <c r="D115" s="12" t="s">
        <v>30</v>
      </c>
      <c r="E115" s="12" t="s">
        <v>32</v>
      </c>
      <c r="F115" s="12" t="s">
        <v>31</v>
      </c>
      <c r="G115" s="12" t="s">
        <v>32</v>
      </c>
      <c r="H115" s="12" t="s">
        <v>33</v>
      </c>
      <c r="I115" s="12">
        <v>60000</v>
      </c>
    </row>
    <row r="116" spans="1:9" ht="15" customHeight="1" x14ac:dyDescent="0.25">
      <c r="A116" s="12">
        <v>115</v>
      </c>
      <c r="B116" s="13" t="s">
        <v>37</v>
      </c>
      <c r="C116" s="12">
        <v>7</v>
      </c>
      <c r="D116" s="12" t="s">
        <v>35</v>
      </c>
      <c r="E116" s="12" t="s">
        <v>31</v>
      </c>
      <c r="F116" s="12" t="s">
        <v>32</v>
      </c>
      <c r="G116" s="12" t="s">
        <v>32</v>
      </c>
      <c r="H116" s="12" t="s">
        <v>32</v>
      </c>
      <c r="I116" s="12">
        <v>160000</v>
      </c>
    </row>
    <row r="117" spans="1:9" ht="15" customHeight="1" x14ac:dyDescent="0.25">
      <c r="A117" s="12">
        <v>116</v>
      </c>
      <c r="B117" s="13" t="s">
        <v>37</v>
      </c>
      <c r="C117" s="12">
        <v>4</v>
      </c>
      <c r="D117" s="12" t="s">
        <v>30</v>
      </c>
      <c r="E117" s="12" t="s">
        <v>31</v>
      </c>
      <c r="F117" s="12" t="s">
        <v>31</v>
      </c>
      <c r="G117" s="12" t="s">
        <v>32</v>
      </c>
      <c r="H117" s="12" t="s">
        <v>33</v>
      </c>
      <c r="I117" s="12">
        <v>60000</v>
      </c>
    </row>
    <row r="118" spans="1:9" ht="15" customHeight="1" x14ac:dyDescent="0.25">
      <c r="A118" s="12">
        <v>117</v>
      </c>
      <c r="B118" s="13" t="s">
        <v>37</v>
      </c>
      <c r="C118" s="12">
        <v>3</v>
      </c>
      <c r="D118" s="12" t="s">
        <v>30</v>
      </c>
      <c r="E118" s="12" t="s">
        <v>32</v>
      </c>
      <c r="F118" s="12" t="s">
        <v>32</v>
      </c>
      <c r="G118" s="12" t="s">
        <v>32</v>
      </c>
      <c r="H118" s="12" t="s">
        <v>32</v>
      </c>
      <c r="I118" s="12">
        <v>35000</v>
      </c>
    </row>
    <row r="119" spans="1:9" ht="15" customHeight="1" x14ac:dyDescent="0.25">
      <c r="A119" s="12">
        <v>118</v>
      </c>
      <c r="B119" s="13" t="s">
        <v>37</v>
      </c>
      <c r="C119" s="12">
        <v>5</v>
      </c>
      <c r="D119" s="12" t="s">
        <v>34</v>
      </c>
      <c r="E119" s="12" t="s">
        <v>32</v>
      </c>
      <c r="F119" s="12" t="s">
        <v>32</v>
      </c>
      <c r="G119" s="12" t="s">
        <v>32</v>
      </c>
      <c r="H119" s="12" t="s">
        <v>33</v>
      </c>
      <c r="I119" s="12">
        <v>160000</v>
      </c>
    </row>
    <row r="120" spans="1:9" ht="15" customHeight="1" x14ac:dyDescent="0.25">
      <c r="A120" s="12">
        <v>119</v>
      </c>
      <c r="B120" s="13" t="s">
        <v>37</v>
      </c>
      <c r="C120" s="12">
        <v>8</v>
      </c>
      <c r="D120" s="12" t="s">
        <v>30</v>
      </c>
      <c r="E120" s="12" t="s">
        <v>31</v>
      </c>
      <c r="F120" s="12" t="s">
        <v>32</v>
      </c>
      <c r="G120" s="12" t="s">
        <v>32</v>
      </c>
      <c r="H120" s="12" t="s">
        <v>33</v>
      </c>
      <c r="I120" s="12">
        <v>75000</v>
      </c>
    </row>
    <row r="121" spans="1:9" ht="15" customHeight="1" x14ac:dyDescent="0.25">
      <c r="A121" s="12">
        <v>120</v>
      </c>
      <c r="B121" s="13" t="s">
        <v>37</v>
      </c>
      <c r="C121" s="12">
        <v>4</v>
      </c>
      <c r="D121" s="12" t="s">
        <v>34</v>
      </c>
      <c r="E121" s="12" t="s">
        <v>31</v>
      </c>
      <c r="F121" s="12" t="s">
        <v>32</v>
      </c>
      <c r="G121" s="12" t="s">
        <v>31</v>
      </c>
      <c r="H121" s="12" t="s">
        <v>31</v>
      </c>
      <c r="I121" s="12">
        <v>130000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pane ySplit="3" topLeftCell="A15" activePane="bottomLeft" state="frozen"/>
      <selection pane="bottomLeft" activeCell="B4" sqref="B4"/>
    </sheetView>
  </sheetViews>
  <sheetFormatPr baseColWidth="10" defaultColWidth="8.7109375" defaultRowHeight="15" x14ac:dyDescent="0.25"/>
  <cols>
    <col min="1" max="1" width="45" style="6" customWidth="1"/>
    <col min="2" max="5" width="14" style="6" customWidth="1"/>
    <col min="6" max="6" width="45" style="6" customWidth="1"/>
  </cols>
  <sheetData>
    <row r="1" spans="1:6" ht="24" customHeight="1" x14ac:dyDescent="0.25">
      <c r="A1" s="5" t="s">
        <v>38</v>
      </c>
      <c r="B1" s="5"/>
      <c r="C1" s="5"/>
      <c r="D1" s="5"/>
      <c r="E1" s="5"/>
      <c r="F1" s="5"/>
    </row>
    <row r="3" spans="1:6" ht="30" customHeight="1" x14ac:dyDescent="0.25">
      <c r="A3" s="11" t="s">
        <v>39</v>
      </c>
      <c r="B3" s="11" t="s">
        <v>29</v>
      </c>
      <c r="C3" s="11" t="s">
        <v>36</v>
      </c>
      <c r="D3" s="11" t="s">
        <v>37</v>
      </c>
      <c r="E3" s="11" t="s">
        <v>40</v>
      </c>
      <c r="F3" s="11" t="s">
        <v>41</v>
      </c>
    </row>
    <row r="4" spans="1:6" ht="39.75" customHeight="1" x14ac:dyDescent="0.25">
      <c r="A4" s="14" t="s">
        <v>42</v>
      </c>
      <c r="B4" s="15">
        <f>COUNTIFS('Données ménages'!$B$2:$B$121,"Akpakpa",'Données ménages'!$E$2:$E$121,"Oui")/COUNTIF('Données ménages'!$B$2:$B$121,"Akpakpa")</f>
        <v>0.27500000000000002</v>
      </c>
      <c r="C4" s="15">
        <f>COUNTIFS('Données ménages'!$B$2:$B$121,"Dantokpa",'Données ménages'!$E$2:$E$121,"Oui")/COUNTIF('Données ménages'!$B$2:$B$121,"Dantokpa")</f>
        <v>0.47499999999999998</v>
      </c>
      <c r="D4" s="15">
        <f>COUNTIFS('Données ménages'!$B$2:$B$121,"Fidjrossè",'Données ménages'!$E$2:$E$121,"Oui")/COUNTIF('Données ménages'!$B$2:$B$121,"Fidjrossè")</f>
        <v>0.5</v>
      </c>
      <c r="E4" s="16">
        <f>AVERAGE(B4:D4)</f>
        <v>0.41666666666666669</v>
      </c>
      <c r="F4" s="17" t="s">
        <v>43</v>
      </c>
    </row>
    <row r="5" spans="1:6" ht="39.75" customHeight="1" x14ac:dyDescent="0.25">
      <c r="A5" s="14" t="s">
        <v>44</v>
      </c>
      <c r="B5" s="15">
        <f>COUNTIFS('Données ménages'!$B$2:$B$121,"Akpakpa",'Données ménages'!$F$2:$F$121,"Oui")/COUNTIF('Données ménages'!$B$2:$B$121,"Akpakpa")</f>
        <v>0.4</v>
      </c>
      <c r="C5" s="15">
        <f>COUNTIFS('Données ménages'!$B$2:$B$121,"Dantokpa",'Données ménages'!$F$2:$F$121,"Oui")/COUNTIF('Données ménages'!$B$2:$B$121,"Dantokpa")</f>
        <v>0.5</v>
      </c>
      <c r="D5" s="15">
        <f>COUNTIFS('Données ménages'!$B$2:$B$121,"Fidjrossè",'Données ménages'!$F$2:$F$121,"Oui")/COUNTIF('Données ménages'!$B$2:$B$121,"Fidjrossè")</f>
        <v>0.5</v>
      </c>
      <c r="E5" s="16">
        <f>AVERAGE(B5:D5)</f>
        <v>0.46666666666666662</v>
      </c>
      <c r="F5" s="17" t="s">
        <v>45</v>
      </c>
    </row>
    <row r="6" spans="1:6" ht="39.75" customHeight="1" x14ac:dyDescent="0.25">
      <c r="A6" s="14" t="s">
        <v>46</v>
      </c>
      <c r="B6" s="15">
        <f>COUNTIFS('Données ménages'!$B$2:$B$121,"Akpakpa",'Données ménages'!$G$2:$G$121,"Oui")/COUNTIF('Données ménages'!$B$2:$B$121,"Akpakpa")</f>
        <v>0.25</v>
      </c>
      <c r="C6" s="15">
        <f>COUNTIFS('Données ménages'!$B$2:$B$121,"Dantokpa",'Données ménages'!$G$2:$G$121,"Oui")/COUNTIF('Données ménages'!$B$2:$B$121,"Dantokpa")</f>
        <v>0.45</v>
      </c>
      <c r="D6" s="15">
        <f>COUNTIFS('Données ménages'!$B$2:$B$121,"Fidjrossè",'Données ménages'!$G$2:$G$121,"Oui")/COUNTIF('Données ménages'!$B$2:$B$121,"Fidjrossè")</f>
        <v>0.27500000000000002</v>
      </c>
      <c r="E6" s="16">
        <f>AVERAGE(B6:D6)</f>
        <v>0.32500000000000001</v>
      </c>
      <c r="F6" s="17" t="s">
        <v>47</v>
      </c>
    </row>
    <row r="7" spans="1:6" ht="39.75" customHeight="1" x14ac:dyDescent="0.25">
      <c r="A7" s="14" t="s">
        <v>48</v>
      </c>
      <c r="B7" s="15">
        <f>COUNTIFS('Données ménages'!$B$2:$B$121,"Akpakpa",'Données ménages'!$H$2:$H$121,"Oui")/COUNTIF('Données ménages'!$B$2:$B$121,"Akpakpa")</f>
        <v>0.45</v>
      </c>
      <c r="C7" s="15">
        <f>COUNTIFS('Données ménages'!$B$2:$B$121,"Dantokpa",'Données ménages'!$H$2:$H$121,"Oui")/COUNTIF('Données ménages'!$B$2:$B$121,"Dantokpa")</f>
        <v>0.55000000000000004</v>
      </c>
      <c r="D7" s="15">
        <f>COUNTIFS('Données ménages'!$B$2:$B$121,"Fidjrossè",'Données ménages'!$H$2:$H$121,"Oui")/COUNTIF('Données ménages'!$B$2:$B$121,"Fidjrossè")</f>
        <v>0.42499999999999999</v>
      </c>
      <c r="E7" s="16">
        <f>AVERAGE(B7:D7)</f>
        <v>0.47500000000000003</v>
      </c>
      <c r="F7" s="17" t="s">
        <v>49</v>
      </c>
    </row>
    <row r="9" spans="1:6" ht="30" customHeight="1" x14ac:dyDescent="0.25">
      <c r="A9" s="4" t="s">
        <v>50</v>
      </c>
      <c r="B9" s="4"/>
      <c r="C9" s="4"/>
      <c r="D9" s="4"/>
      <c r="E9" s="4"/>
      <c r="F9" s="4"/>
    </row>
    <row r="11" spans="1:6" ht="19.5" customHeight="1" x14ac:dyDescent="0.25">
      <c r="A11" s="3" t="s">
        <v>51</v>
      </c>
      <c r="B11" s="3"/>
      <c r="C11" s="3"/>
      <c r="D11" s="3"/>
      <c r="E11" s="3"/>
      <c r="F11" s="3"/>
    </row>
    <row r="12" spans="1:6" ht="27.75" customHeight="1" x14ac:dyDescent="0.25">
      <c r="A12" s="11" t="s">
        <v>39</v>
      </c>
      <c r="B12" s="11" t="s">
        <v>52</v>
      </c>
      <c r="C12" s="11" t="s">
        <v>53</v>
      </c>
      <c r="D12" s="11" t="s">
        <v>54</v>
      </c>
      <c r="E12" s="11"/>
      <c r="F12" s="11" t="s">
        <v>41</v>
      </c>
    </row>
    <row r="13" spans="1:6" ht="33.75" customHeight="1" x14ac:dyDescent="0.25">
      <c r="A13" s="18" t="s">
        <v>55</v>
      </c>
      <c r="B13" s="12">
        <f>COUNTIF('Acteurs chaîne de valeur'!$B$5:$B$29,"Collecteur")</f>
        <v>15</v>
      </c>
      <c r="C13" s="12">
        <f>COUNTIF('Acteurs chaîne de valeur'!$B$5:$B$29,"Artisan")</f>
        <v>10</v>
      </c>
      <c r="D13" s="12">
        <f>B13+C13</f>
        <v>25</v>
      </c>
      <c r="F13" s="17" t="s">
        <v>56</v>
      </c>
    </row>
    <row r="14" spans="1:6" ht="33.75" customHeight="1" x14ac:dyDescent="0.25">
      <c r="A14" s="18" t="s">
        <v>57</v>
      </c>
      <c r="B14" s="15">
        <f>AVERAGEIF('Acteurs chaîne de valeur'!$B$5:$B$29,"Collecteur",'Acteurs chaîne de valeur'!$G$5:$G$29)</f>
        <v>0.19086666666666663</v>
      </c>
      <c r="C14" s="15">
        <f>AVERAGEIF('Acteurs chaîne de valeur'!$B$5:$B$29,"Artisan",'Acteurs chaîne de valeur'!$G$5:$G$29)</f>
        <v>0.21560000000000007</v>
      </c>
      <c r="D14" s="15">
        <f>AVERAGE('Acteurs chaîne de valeur'!$G$5:$G$29)</f>
        <v>0.20075999999999999</v>
      </c>
      <c r="F14" s="17" t="s">
        <v>58</v>
      </c>
    </row>
    <row r="15" spans="1:6" ht="39.75" customHeight="1" x14ac:dyDescent="0.25">
      <c r="A15" s="18" t="s">
        <v>59</v>
      </c>
      <c r="B15" s="19">
        <f>SUMIF('Acteurs chaîne de valeur'!$B$5:$B$29,"Collecteur",'Acteurs chaîne de valeur'!$H$5:$H$29)</f>
        <v>4200</v>
      </c>
      <c r="C15" s="19">
        <f>SUMIF('Acteurs chaîne de valeur'!$B$5:$B$29,"Artisan",'Acteurs chaîne de valeur'!$H$5:$H$29)</f>
        <v>2200</v>
      </c>
      <c r="D15" s="19">
        <f>B15+C15</f>
        <v>6400</v>
      </c>
      <c r="F15" s="17" t="s">
        <v>60</v>
      </c>
    </row>
    <row r="17" spans="1:6" ht="39.75" customHeight="1" x14ac:dyDescent="0.25">
      <c r="A17" s="4" t="s">
        <v>61</v>
      </c>
      <c r="B17" s="4"/>
      <c r="C17" s="4"/>
      <c r="D17" s="4"/>
      <c r="E17" s="4"/>
      <c r="F17" s="4"/>
    </row>
  </sheetData>
  <mergeCells count="4">
    <mergeCell ref="A1:F1"/>
    <mergeCell ref="A9:F9"/>
    <mergeCell ref="A11:F11"/>
    <mergeCell ref="A17:F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
  <sheetViews>
    <sheetView showGridLines="0" zoomScaleNormal="100" workbookViewId="0"/>
  </sheetViews>
  <sheetFormatPr baseColWidth="10" defaultColWidth="8.7109375" defaultRowHeight="15" x14ac:dyDescent="0.25"/>
  <cols>
    <col min="1" max="1" width="100" style="6" customWidth="1"/>
  </cols>
  <sheetData>
    <row r="1" spans="1:1" ht="27.75" customHeight="1" x14ac:dyDescent="0.25">
      <c r="A1" s="7" t="s">
        <v>62</v>
      </c>
    </row>
    <row r="2" spans="1:1" ht="15" customHeight="1" x14ac:dyDescent="0.25">
      <c r="A2" s="8"/>
    </row>
    <row r="3" spans="1:1" ht="27.75" customHeight="1" x14ac:dyDescent="0.25">
      <c r="A3" s="8" t="s">
        <v>63</v>
      </c>
    </row>
    <row r="4" spans="1:1" ht="15" customHeight="1" x14ac:dyDescent="0.25">
      <c r="A4" s="8"/>
    </row>
    <row r="5" spans="1:1" ht="15" customHeight="1" x14ac:dyDescent="0.25">
      <c r="A5" s="9" t="s">
        <v>64</v>
      </c>
    </row>
    <row r="6" spans="1:1" ht="15" customHeight="1" x14ac:dyDescent="0.25">
      <c r="A6" s="8" t="s">
        <v>65</v>
      </c>
    </row>
    <row r="7" spans="1:1" ht="15" customHeight="1" x14ac:dyDescent="0.25">
      <c r="A7" s="8" t="s">
        <v>66</v>
      </c>
    </row>
    <row r="8" spans="1:1" ht="15" customHeight="1" x14ac:dyDescent="0.25">
      <c r="A8" s="8" t="s">
        <v>67</v>
      </c>
    </row>
    <row r="9" spans="1:1" ht="15" customHeight="1" x14ac:dyDescent="0.25">
      <c r="A9" s="8"/>
    </row>
    <row r="10" spans="1:1" ht="15" customHeight="1" x14ac:dyDescent="0.25">
      <c r="A10" s="9" t="s">
        <v>68</v>
      </c>
    </row>
    <row r="11" spans="1:1" ht="15" customHeight="1" x14ac:dyDescent="0.25">
      <c r="A11" s="8" t="s">
        <v>69</v>
      </c>
    </row>
    <row r="12" spans="1:1" ht="15" customHeight="1" x14ac:dyDescent="0.25">
      <c r="A12" s="8" t="s">
        <v>70</v>
      </c>
    </row>
    <row r="13" spans="1:1" ht="15" customHeight="1" x14ac:dyDescent="0.25">
      <c r="A13" s="8" t="s">
        <v>71</v>
      </c>
    </row>
    <row r="14" spans="1:1" ht="15" customHeight="1" x14ac:dyDescent="0.25">
      <c r="A14" s="8"/>
    </row>
    <row r="15" spans="1:1" ht="15" customHeight="1" x14ac:dyDescent="0.25">
      <c r="A15" s="9" t="s">
        <v>72</v>
      </c>
    </row>
    <row r="16" spans="1:1" ht="15" customHeight="1" x14ac:dyDescent="0.25">
      <c r="A16" s="8" t="s">
        <v>73</v>
      </c>
    </row>
    <row r="17" spans="1:1" ht="15" customHeight="1" x14ac:dyDescent="0.25">
      <c r="A17" s="8" t="s">
        <v>74</v>
      </c>
    </row>
    <row r="18" spans="1:1" ht="15" customHeight="1" x14ac:dyDescent="0.25">
      <c r="A18" s="8"/>
    </row>
    <row r="19" spans="1:1" ht="27.75" customHeight="1" x14ac:dyDescent="0.25">
      <c r="A19" s="8" t="s">
        <v>75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abSelected="1" zoomScaleNormal="100" workbookViewId="0">
      <pane ySplit="4" topLeftCell="A26" activePane="bottomLeft" state="frozen"/>
      <selection pane="bottomLeft" activeCell="G31" sqref="G31"/>
    </sheetView>
  </sheetViews>
  <sheetFormatPr baseColWidth="10" defaultColWidth="8.7109375" defaultRowHeight="15" x14ac:dyDescent="0.25"/>
  <cols>
    <col min="1" max="1" width="6" customWidth="1"/>
    <col min="2" max="4" width="16" customWidth="1"/>
    <col min="5" max="5" width="22" customWidth="1"/>
    <col min="6" max="6" width="26" customWidth="1"/>
    <col min="7" max="7" width="20" customWidth="1"/>
    <col min="8" max="8" width="24" customWidth="1"/>
  </cols>
  <sheetData>
    <row r="1" spans="1:10" ht="25.5" customHeight="1" x14ac:dyDescent="0.25">
      <c r="A1" s="2" t="s">
        <v>76</v>
      </c>
      <c r="B1" s="2"/>
      <c r="C1" s="2"/>
      <c r="D1" s="2"/>
      <c r="E1" s="2"/>
      <c r="F1" s="2"/>
      <c r="G1" s="2"/>
      <c r="H1" s="2"/>
    </row>
    <row r="2" spans="1:10" ht="60" customHeight="1" x14ac:dyDescent="0.25">
      <c r="A2" s="1" t="s">
        <v>77</v>
      </c>
      <c r="B2" s="1"/>
      <c r="C2" s="1"/>
      <c r="D2" s="1"/>
      <c r="E2" s="1"/>
      <c r="F2" s="1"/>
      <c r="G2" s="1"/>
      <c r="H2" s="1"/>
    </row>
    <row r="4" spans="1:10" ht="39.75" customHeight="1" x14ac:dyDescent="0.25">
      <c r="A4" s="11" t="s">
        <v>20</v>
      </c>
      <c r="B4" s="11" t="s">
        <v>78</v>
      </c>
      <c r="C4" s="11" t="s">
        <v>79</v>
      </c>
      <c r="D4" s="11" t="s">
        <v>80</v>
      </c>
      <c r="E4" s="11" t="s">
        <v>81</v>
      </c>
      <c r="F4" s="11" t="s">
        <v>82</v>
      </c>
      <c r="G4" s="11" t="s">
        <v>83</v>
      </c>
      <c r="H4" s="11" t="s">
        <v>84</v>
      </c>
    </row>
    <row r="5" spans="1:10" x14ac:dyDescent="0.25">
      <c r="A5" s="12">
        <v>1</v>
      </c>
      <c r="B5" s="13" t="s">
        <v>85</v>
      </c>
      <c r="C5" s="12">
        <v>3</v>
      </c>
      <c r="D5" s="12">
        <v>30</v>
      </c>
      <c r="E5" s="12">
        <v>28000</v>
      </c>
      <c r="F5" s="19">
        <f>E5*(1+0.155)</f>
        <v>32340</v>
      </c>
      <c r="G5" s="15">
        <f t="shared" ref="G5:G29" si="0">(F5-E5)/E5</f>
        <v>0.155</v>
      </c>
      <c r="H5" s="12">
        <v>400</v>
      </c>
    </row>
    <row r="6" spans="1:10" x14ac:dyDescent="0.25">
      <c r="A6" s="12">
        <v>2</v>
      </c>
      <c r="B6" s="13" t="s">
        <v>85</v>
      </c>
      <c r="C6" s="12">
        <v>8</v>
      </c>
      <c r="D6" s="12">
        <v>45</v>
      </c>
      <c r="E6" s="12">
        <v>18000</v>
      </c>
      <c r="F6" s="19">
        <f>E6*(1+0.208)</f>
        <v>21744</v>
      </c>
      <c r="G6" s="15">
        <f t="shared" si="0"/>
        <v>0.20799999999999999</v>
      </c>
      <c r="H6" s="12">
        <v>250</v>
      </c>
    </row>
    <row r="7" spans="1:10" x14ac:dyDescent="0.25">
      <c r="A7" s="12">
        <v>3</v>
      </c>
      <c r="B7" s="13" t="s">
        <v>85</v>
      </c>
      <c r="C7" s="12">
        <v>5</v>
      </c>
      <c r="D7" s="12">
        <v>30</v>
      </c>
      <c r="E7" s="12">
        <v>18000</v>
      </c>
      <c r="F7" s="19">
        <f>E7*(1+0.193)</f>
        <v>21474</v>
      </c>
      <c r="G7" s="15">
        <f t="shared" si="0"/>
        <v>0.193</v>
      </c>
      <c r="H7" s="12">
        <v>150</v>
      </c>
    </row>
    <row r="8" spans="1:10" x14ac:dyDescent="0.25">
      <c r="A8" s="12">
        <v>4</v>
      </c>
      <c r="B8" s="13" t="s">
        <v>85</v>
      </c>
      <c r="C8" s="12">
        <v>1</v>
      </c>
      <c r="D8" s="12">
        <v>30</v>
      </c>
      <c r="E8" s="12">
        <v>18000</v>
      </c>
      <c r="F8" s="19">
        <f>E8*(1+0.192)</f>
        <v>21456</v>
      </c>
      <c r="G8" s="15">
        <f t="shared" si="0"/>
        <v>0.192</v>
      </c>
      <c r="H8" s="12">
        <v>350</v>
      </c>
    </row>
    <row r="9" spans="1:10" x14ac:dyDescent="0.25">
      <c r="A9" s="12">
        <v>5</v>
      </c>
      <c r="B9" s="13" t="s">
        <v>85</v>
      </c>
      <c r="C9" s="12">
        <v>8</v>
      </c>
      <c r="D9" s="12">
        <v>45</v>
      </c>
      <c r="E9" s="12">
        <v>18000</v>
      </c>
      <c r="F9" s="19">
        <f>E9*(1+0.213)</f>
        <v>21834</v>
      </c>
      <c r="G9" s="15">
        <f t="shared" si="0"/>
        <v>0.21299999999999999</v>
      </c>
      <c r="H9" s="12">
        <v>200</v>
      </c>
    </row>
    <row r="10" spans="1:10" x14ac:dyDescent="0.25">
      <c r="A10" s="12">
        <v>6</v>
      </c>
      <c r="B10" s="13" t="s">
        <v>85</v>
      </c>
      <c r="C10" s="12">
        <v>5</v>
      </c>
      <c r="D10" s="12">
        <v>25</v>
      </c>
      <c r="E10" s="12">
        <v>32000</v>
      </c>
      <c r="F10" s="19">
        <f>E10*(1+0.19)</f>
        <v>38080</v>
      </c>
      <c r="G10" s="15">
        <f t="shared" si="0"/>
        <v>0.19</v>
      </c>
      <c r="H10" s="12">
        <v>350</v>
      </c>
    </row>
    <row r="11" spans="1:10" x14ac:dyDescent="0.25">
      <c r="A11" s="12">
        <v>7</v>
      </c>
      <c r="B11" s="13" t="s">
        <v>85</v>
      </c>
      <c r="C11" s="12">
        <v>2</v>
      </c>
      <c r="D11" s="12">
        <v>25</v>
      </c>
      <c r="E11" s="12">
        <v>32000</v>
      </c>
      <c r="F11" s="19">
        <f>E11*(1+0.163)</f>
        <v>37216</v>
      </c>
      <c r="G11" s="15">
        <f t="shared" si="0"/>
        <v>0.16300000000000001</v>
      </c>
      <c r="H11" s="12">
        <v>450</v>
      </c>
    </row>
    <row r="12" spans="1:10" x14ac:dyDescent="0.25">
      <c r="A12" s="12">
        <v>8</v>
      </c>
      <c r="B12" s="13" t="s">
        <v>85</v>
      </c>
      <c r="C12" s="12">
        <v>4</v>
      </c>
      <c r="D12" s="12">
        <v>30</v>
      </c>
      <c r="E12" s="12">
        <v>32000</v>
      </c>
      <c r="F12" s="19">
        <f>E12*(1+0.207)</f>
        <v>38624</v>
      </c>
      <c r="G12" s="15">
        <f t="shared" si="0"/>
        <v>0.20699999999999999</v>
      </c>
      <c r="H12" s="12">
        <v>150</v>
      </c>
    </row>
    <row r="13" spans="1:10" x14ac:dyDescent="0.25">
      <c r="A13" s="12">
        <v>9</v>
      </c>
      <c r="B13" s="13" t="s">
        <v>85</v>
      </c>
      <c r="C13" s="12">
        <v>5</v>
      </c>
      <c r="D13" s="12">
        <v>50</v>
      </c>
      <c r="E13" s="12">
        <v>22000</v>
      </c>
      <c r="F13" s="19">
        <f>E13*(1+0.208)</f>
        <v>26576</v>
      </c>
      <c r="G13" s="15">
        <f t="shared" si="0"/>
        <v>0.20799999999999999</v>
      </c>
      <c r="H13" s="12">
        <v>150</v>
      </c>
    </row>
    <row r="14" spans="1:10" x14ac:dyDescent="0.25">
      <c r="A14" s="12">
        <v>10</v>
      </c>
      <c r="B14" s="13" t="s">
        <v>85</v>
      </c>
      <c r="C14" s="12">
        <v>6</v>
      </c>
      <c r="D14" s="12">
        <v>30</v>
      </c>
      <c r="E14" s="12">
        <v>25000</v>
      </c>
      <c r="F14" s="19">
        <f>E14*(1+0.205)</f>
        <v>30125</v>
      </c>
      <c r="G14" s="15">
        <f t="shared" si="0"/>
        <v>0.20499999999999999</v>
      </c>
      <c r="H14" s="12">
        <v>150</v>
      </c>
    </row>
    <row r="15" spans="1:10" x14ac:dyDescent="0.25">
      <c r="A15" s="12">
        <v>11</v>
      </c>
      <c r="B15" s="13" t="s">
        <v>85</v>
      </c>
      <c r="C15" s="12">
        <v>1</v>
      </c>
      <c r="D15" s="12">
        <v>45</v>
      </c>
      <c r="E15" s="12">
        <v>18000</v>
      </c>
      <c r="F15" s="19">
        <f>E15*(1+0.171)</f>
        <v>21078</v>
      </c>
      <c r="G15" s="15">
        <f t="shared" si="0"/>
        <v>0.17100000000000001</v>
      </c>
      <c r="H15" s="12">
        <v>350</v>
      </c>
    </row>
    <row r="16" spans="1:10" x14ac:dyDescent="0.25">
      <c r="A16" s="12">
        <v>12</v>
      </c>
      <c r="B16" s="13" t="s">
        <v>85</v>
      </c>
      <c r="C16" s="12">
        <v>6</v>
      </c>
      <c r="D16" s="12">
        <v>45</v>
      </c>
      <c r="E16" s="12">
        <v>28000</v>
      </c>
      <c r="F16" s="19">
        <f>E16*(1+0.181)</f>
        <v>33068</v>
      </c>
      <c r="G16" s="15">
        <f t="shared" si="0"/>
        <v>0.18099999999999999</v>
      </c>
      <c r="H16" s="12">
        <v>450</v>
      </c>
      <c r="J16" t="s">
        <v>88</v>
      </c>
    </row>
    <row r="17" spans="1:8" x14ac:dyDescent="0.25">
      <c r="A17" s="12">
        <v>13</v>
      </c>
      <c r="B17" s="13" t="s">
        <v>85</v>
      </c>
      <c r="C17" s="12">
        <v>5</v>
      </c>
      <c r="D17" s="12">
        <v>40</v>
      </c>
      <c r="E17" s="12">
        <v>25000</v>
      </c>
      <c r="F17" s="19">
        <f>E17*(1+0.175)</f>
        <v>29375</v>
      </c>
      <c r="G17" s="15">
        <f t="shared" si="0"/>
        <v>0.17499999999999999</v>
      </c>
      <c r="H17" s="12">
        <v>250</v>
      </c>
    </row>
    <row r="18" spans="1:8" x14ac:dyDescent="0.25">
      <c r="A18" s="12">
        <v>14</v>
      </c>
      <c r="B18" s="13" t="s">
        <v>85</v>
      </c>
      <c r="C18" s="12">
        <v>2</v>
      </c>
      <c r="D18" s="12">
        <v>50</v>
      </c>
      <c r="E18" s="12">
        <v>22000</v>
      </c>
      <c r="F18" s="19">
        <f>E18*(1+0.207)</f>
        <v>26554</v>
      </c>
      <c r="G18" s="15">
        <f t="shared" si="0"/>
        <v>0.20699999999999999</v>
      </c>
      <c r="H18" s="12">
        <v>150</v>
      </c>
    </row>
    <row r="19" spans="1:8" x14ac:dyDescent="0.25">
      <c r="A19" s="12">
        <v>15</v>
      </c>
      <c r="B19" s="13" t="s">
        <v>85</v>
      </c>
      <c r="C19" s="12">
        <v>5</v>
      </c>
      <c r="D19" s="12">
        <v>40</v>
      </c>
      <c r="E19" s="12">
        <v>25000</v>
      </c>
      <c r="F19" s="19">
        <f>E19*(1+0.195)</f>
        <v>29875</v>
      </c>
      <c r="G19" s="15">
        <f t="shared" si="0"/>
        <v>0.19500000000000001</v>
      </c>
      <c r="H19" s="12">
        <v>400</v>
      </c>
    </row>
    <row r="20" spans="1:8" x14ac:dyDescent="0.25">
      <c r="A20" s="12">
        <v>16</v>
      </c>
      <c r="B20" s="13" t="s">
        <v>86</v>
      </c>
      <c r="C20" s="12">
        <v>5</v>
      </c>
      <c r="D20" s="12">
        <v>20</v>
      </c>
      <c r="E20" s="12">
        <v>28000</v>
      </c>
      <c r="F20" s="19">
        <f>E20*(1+0.192)</f>
        <v>33376</v>
      </c>
      <c r="G20" s="15">
        <f t="shared" si="0"/>
        <v>0.192</v>
      </c>
      <c r="H20" s="12">
        <v>300</v>
      </c>
    </row>
    <row r="21" spans="1:8" x14ac:dyDescent="0.25">
      <c r="A21" s="12">
        <v>17</v>
      </c>
      <c r="B21" s="13" t="s">
        <v>86</v>
      </c>
      <c r="C21" s="12">
        <v>8</v>
      </c>
      <c r="D21" s="12">
        <v>30</v>
      </c>
      <c r="E21" s="12">
        <v>32000</v>
      </c>
      <c r="F21" s="19">
        <f>E21*(1+0.192)</f>
        <v>38144</v>
      </c>
      <c r="G21" s="15">
        <f t="shared" si="0"/>
        <v>0.192</v>
      </c>
      <c r="H21" s="12">
        <v>250</v>
      </c>
    </row>
    <row r="22" spans="1:8" x14ac:dyDescent="0.25">
      <c r="A22" s="12">
        <v>18</v>
      </c>
      <c r="B22" s="13" t="s">
        <v>86</v>
      </c>
      <c r="C22" s="12">
        <v>6</v>
      </c>
      <c r="D22" s="12">
        <v>20</v>
      </c>
      <c r="E22" s="12">
        <v>48000</v>
      </c>
      <c r="F22" s="19">
        <f>E22*(1+0.229)</f>
        <v>58992.000000000007</v>
      </c>
      <c r="G22" s="15">
        <f t="shared" si="0"/>
        <v>0.22900000000000015</v>
      </c>
      <c r="H22" s="12">
        <v>300</v>
      </c>
    </row>
    <row r="23" spans="1:8" x14ac:dyDescent="0.25">
      <c r="A23" s="12">
        <v>19</v>
      </c>
      <c r="B23" s="13" t="s">
        <v>86</v>
      </c>
      <c r="C23" s="12">
        <v>8</v>
      </c>
      <c r="D23" s="12">
        <v>30</v>
      </c>
      <c r="E23" s="12">
        <v>38000</v>
      </c>
      <c r="F23" s="19">
        <f>E23*(1+0.209)</f>
        <v>45942</v>
      </c>
      <c r="G23" s="15">
        <f t="shared" si="0"/>
        <v>0.20899999999999999</v>
      </c>
      <c r="H23" s="12">
        <v>200</v>
      </c>
    </row>
    <row r="24" spans="1:8" x14ac:dyDescent="0.25">
      <c r="A24" s="12">
        <v>20</v>
      </c>
      <c r="B24" s="13" t="s">
        <v>86</v>
      </c>
      <c r="C24" s="12">
        <v>5</v>
      </c>
      <c r="D24" s="12">
        <v>35</v>
      </c>
      <c r="E24" s="12">
        <v>28000</v>
      </c>
      <c r="F24" s="19">
        <f>E24*(1+0.244)</f>
        <v>34832</v>
      </c>
      <c r="G24" s="15">
        <f t="shared" si="0"/>
        <v>0.24399999999999999</v>
      </c>
      <c r="H24" s="12">
        <v>100</v>
      </c>
    </row>
    <row r="25" spans="1:8" x14ac:dyDescent="0.25">
      <c r="A25" s="12">
        <v>21</v>
      </c>
      <c r="B25" s="13" t="s">
        <v>86</v>
      </c>
      <c r="C25" s="12">
        <v>4</v>
      </c>
      <c r="D25" s="12">
        <v>20</v>
      </c>
      <c r="E25" s="12">
        <v>28000</v>
      </c>
      <c r="F25" s="19">
        <f>E25*(1+0.215)</f>
        <v>34020</v>
      </c>
      <c r="G25" s="15">
        <f t="shared" si="0"/>
        <v>0.215</v>
      </c>
      <c r="H25" s="12">
        <v>200</v>
      </c>
    </row>
    <row r="26" spans="1:8" x14ac:dyDescent="0.25">
      <c r="A26" s="12">
        <v>22</v>
      </c>
      <c r="B26" s="13" t="s">
        <v>86</v>
      </c>
      <c r="C26" s="12">
        <v>6</v>
      </c>
      <c r="D26" s="12">
        <v>35</v>
      </c>
      <c r="E26" s="12">
        <v>38000</v>
      </c>
      <c r="F26" s="19">
        <f>E26*(1+0.239)</f>
        <v>47081.999999999993</v>
      </c>
      <c r="G26" s="15">
        <f t="shared" si="0"/>
        <v>0.2389999999999998</v>
      </c>
      <c r="H26" s="12">
        <v>250</v>
      </c>
    </row>
    <row r="27" spans="1:8" x14ac:dyDescent="0.25">
      <c r="A27" s="12">
        <v>23</v>
      </c>
      <c r="B27" s="13" t="s">
        <v>86</v>
      </c>
      <c r="C27" s="12">
        <v>3</v>
      </c>
      <c r="D27" s="12">
        <v>20</v>
      </c>
      <c r="E27" s="12">
        <v>42000</v>
      </c>
      <c r="F27" s="19">
        <f>E27*(1+0.167)</f>
        <v>49014</v>
      </c>
      <c r="G27" s="15">
        <f t="shared" si="0"/>
        <v>0.16700000000000001</v>
      </c>
      <c r="H27" s="12">
        <v>200</v>
      </c>
    </row>
    <row r="28" spans="1:8" x14ac:dyDescent="0.25">
      <c r="A28" s="12">
        <v>24</v>
      </c>
      <c r="B28" s="13" t="s">
        <v>86</v>
      </c>
      <c r="C28" s="12">
        <v>1</v>
      </c>
      <c r="D28" s="12">
        <v>35</v>
      </c>
      <c r="E28" s="12">
        <v>28000</v>
      </c>
      <c r="F28" s="19">
        <f>E28*(1+0.227)</f>
        <v>34356</v>
      </c>
      <c r="G28" s="15">
        <f t="shared" si="0"/>
        <v>0.22700000000000001</v>
      </c>
      <c r="H28" s="12">
        <v>150</v>
      </c>
    </row>
    <row r="29" spans="1:8" x14ac:dyDescent="0.25">
      <c r="A29" s="12">
        <v>25</v>
      </c>
      <c r="B29" s="13" t="s">
        <v>86</v>
      </c>
      <c r="C29" s="12">
        <v>2</v>
      </c>
      <c r="D29" s="12">
        <v>25</v>
      </c>
      <c r="E29" s="12">
        <v>42000</v>
      </c>
      <c r="F29" s="19">
        <f>E29*(1+0.242)</f>
        <v>52164</v>
      </c>
      <c r="G29" s="15">
        <f t="shared" si="0"/>
        <v>0.24199999999999999</v>
      </c>
      <c r="H29" s="12">
        <v>250</v>
      </c>
    </row>
  </sheetData>
  <mergeCells count="2">
    <mergeCell ref="A1:H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Données ménages</vt:lpstr>
      <vt:lpstr>Indicateurs MEAL</vt:lpstr>
      <vt:lpstr>Guide entretiens qualitatifs</vt:lpstr>
      <vt:lpstr>Acteurs chaîne de valeur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joel AGBANLIN</cp:lastModifiedBy>
  <cp:revision>0</cp:revision>
  <dcterms:created xsi:type="dcterms:W3CDTF">2026-07-21T03:46:44Z</dcterms:created>
  <dcterms:modified xsi:type="dcterms:W3CDTF">2026-07-21T05:35:58Z</dcterms:modified>
  <dc:language>en-US</dc:language>
</cp:coreProperties>
</file>